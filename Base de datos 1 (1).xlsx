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larios-my.sharepoint.com/personal/ptorrm1_clarios_com/Documents/Desktop/OEX/Transformacion Digital/Proyecto de energia/"/>
    </mc:Choice>
  </mc:AlternateContent>
  <xr:revisionPtr revIDLastSave="0" documentId="8_{21BB0CD6-E8CE-4827-B02C-6BD9B1B5C5A1}" xr6:coauthVersionLast="47" xr6:coauthVersionMax="47" xr10:uidLastSave="{00000000-0000-0000-0000-000000000000}"/>
  <bookViews>
    <workbookView xWindow="28680" yWindow="-120" windowWidth="29040" windowHeight="15720" firstSheet="3" activeTab="3" xr2:uid="{4DFB1F74-28D1-4B0C-9BD3-F48C7DC349B1}"/>
  </bookViews>
  <sheets>
    <sheet name="Ensamble" sheetId="1" r:id="rId1"/>
    <sheet name="OREC" sheetId="2" r:id="rId2"/>
    <sheet name="F&amp;A" sheetId="3" r:id="rId3"/>
    <sheet name="RC Energia" sheetId="4" r:id="rId4"/>
    <sheet name="RC GAS" sheetId="6" r:id="rId5"/>
  </sheets>
  <externalReferences>
    <externalReference r:id="rId6"/>
  </externalReferences>
  <definedNames>
    <definedName name="_xlnm._FilterDatabase" localSheetId="2" hidden="1">'F&amp;A'!$B$2:$M$254</definedName>
    <definedName name="_xlnm._FilterDatabase" localSheetId="1" hidden="1">OREC!$B$2:$M$583</definedName>
    <definedName name="_xlnm._FilterDatabase" localSheetId="3" hidden="1">'RC Energia'!$B$1:$N$107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N41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3" i="1"/>
  <c r="N561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3" i="2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3" i="3"/>
  <c r="N3" i="3"/>
  <c r="N219" i="3"/>
  <c r="I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363" i="1" l="1"/>
  <c r="N367" i="1"/>
  <c r="L99" i="6" l="1"/>
  <c r="K99" i="6"/>
  <c r="K100" i="6" s="1"/>
  <c r="L3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100" i="6" l="1"/>
  <c r="K101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3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I191" i="3"/>
  <c r="K102" i="6" l="1"/>
  <c r="L101" i="6"/>
  <c r="L4" i="6"/>
  <c r="K103" i="6" l="1"/>
  <c r="L102" i="6"/>
  <c r="L5" i="6"/>
  <c r="J248" i="3"/>
  <c r="J245" i="3"/>
  <c r="J242" i="3"/>
  <c r="J239" i="3"/>
  <c r="J236" i="3"/>
  <c r="J233" i="3"/>
  <c r="J230" i="3"/>
  <c r="J227" i="3"/>
  <c r="J224" i="3"/>
  <c r="J221" i="3"/>
  <c r="J218" i="3"/>
  <c r="J215" i="3"/>
  <c r="J212" i="3"/>
  <c r="J209" i="3"/>
  <c r="J206" i="3"/>
  <c r="J203" i="3"/>
  <c r="J200" i="3"/>
  <c r="J197" i="3"/>
  <c r="J194" i="3"/>
  <c r="J191" i="3"/>
  <c r="J188" i="3"/>
  <c r="J185" i="3"/>
  <c r="J182" i="3"/>
  <c r="J179" i="3"/>
  <c r="J176" i="3"/>
  <c r="J173" i="3"/>
  <c r="J170" i="3"/>
  <c r="J167" i="3"/>
  <c r="J164" i="3"/>
  <c r="J161" i="3"/>
  <c r="J158" i="3"/>
  <c r="J155" i="3"/>
  <c r="J152" i="3"/>
  <c r="J149" i="3"/>
  <c r="J372" i="1"/>
  <c r="J412" i="1"/>
  <c r="J407" i="1"/>
  <c r="J402" i="1"/>
  <c r="J397" i="1"/>
  <c r="J392" i="1"/>
  <c r="J387" i="1"/>
  <c r="J382" i="1"/>
  <c r="J377" i="1"/>
  <c r="J367" i="1"/>
  <c r="J362" i="1"/>
  <c r="J357" i="1"/>
  <c r="J352" i="1"/>
  <c r="J347" i="1"/>
  <c r="J342" i="1"/>
  <c r="J337" i="1"/>
  <c r="J332" i="1"/>
  <c r="J327" i="1"/>
  <c r="J322" i="1"/>
  <c r="J317" i="1"/>
  <c r="J312" i="1"/>
  <c r="J307" i="1"/>
  <c r="J302" i="1"/>
  <c r="J297" i="1"/>
  <c r="J292" i="1"/>
  <c r="J287" i="1"/>
  <c r="J282" i="1"/>
  <c r="J277" i="1"/>
  <c r="J272" i="1"/>
  <c r="J267" i="1"/>
  <c r="J262" i="1"/>
  <c r="J257" i="1"/>
  <c r="J252" i="1"/>
  <c r="J247" i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5" i="3"/>
  <c r="I4" i="3"/>
  <c r="I378" i="1"/>
  <c r="N378" i="1" s="1"/>
  <c r="I379" i="1"/>
  <c r="N379" i="1" s="1"/>
  <c r="I380" i="1"/>
  <c r="N380" i="1" s="1"/>
  <c r="I381" i="1"/>
  <c r="N381" i="1" s="1"/>
  <c r="I382" i="1"/>
  <c r="N382" i="1" s="1"/>
  <c r="I383" i="1"/>
  <c r="N383" i="1" s="1"/>
  <c r="I384" i="1"/>
  <c r="N384" i="1" s="1"/>
  <c r="I385" i="1"/>
  <c r="N385" i="1" s="1"/>
  <c r="I386" i="1"/>
  <c r="N386" i="1" s="1"/>
  <c r="I387" i="1"/>
  <c r="N387" i="1" s="1"/>
  <c r="I388" i="1"/>
  <c r="N388" i="1" s="1"/>
  <c r="I389" i="1"/>
  <c r="N389" i="1" s="1"/>
  <c r="I390" i="1"/>
  <c r="N390" i="1" s="1"/>
  <c r="I391" i="1"/>
  <c r="N391" i="1" s="1"/>
  <c r="I392" i="1"/>
  <c r="N392" i="1" s="1"/>
  <c r="I393" i="1"/>
  <c r="N393" i="1" s="1"/>
  <c r="I394" i="1"/>
  <c r="N394" i="1" s="1"/>
  <c r="I395" i="1"/>
  <c r="N395" i="1" s="1"/>
  <c r="I396" i="1"/>
  <c r="N396" i="1" s="1"/>
  <c r="I397" i="1"/>
  <c r="N397" i="1" s="1"/>
  <c r="I398" i="1"/>
  <c r="N398" i="1" s="1"/>
  <c r="I399" i="1"/>
  <c r="N399" i="1" s="1"/>
  <c r="I400" i="1"/>
  <c r="N400" i="1" s="1"/>
  <c r="I401" i="1"/>
  <c r="N401" i="1" s="1"/>
  <c r="I402" i="1"/>
  <c r="N402" i="1" s="1"/>
  <c r="I403" i="1"/>
  <c r="N403" i="1" s="1"/>
  <c r="I404" i="1"/>
  <c r="N404" i="1" s="1"/>
  <c r="I405" i="1"/>
  <c r="N405" i="1" s="1"/>
  <c r="I406" i="1"/>
  <c r="N406" i="1" s="1"/>
  <c r="I407" i="1"/>
  <c r="N407" i="1" s="1"/>
  <c r="I408" i="1"/>
  <c r="N408" i="1" s="1"/>
  <c r="I409" i="1"/>
  <c r="N409" i="1" s="1"/>
  <c r="I410" i="1"/>
  <c r="N410" i="1" s="1"/>
  <c r="I411" i="1"/>
  <c r="N411" i="1" s="1"/>
  <c r="I412" i="1"/>
  <c r="I199" i="1"/>
  <c r="N199" i="1" s="1"/>
  <c r="I200" i="1"/>
  <c r="N200" i="1" s="1"/>
  <c r="I201" i="1"/>
  <c r="N201" i="1" s="1"/>
  <c r="I202" i="1"/>
  <c r="N202" i="1" s="1"/>
  <c r="I203" i="1"/>
  <c r="N203" i="1" s="1"/>
  <c r="I204" i="1"/>
  <c r="N204" i="1" s="1"/>
  <c r="I205" i="1"/>
  <c r="N205" i="1" s="1"/>
  <c r="I206" i="1"/>
  <c r="N206" i="1" s="1"/>
  <c r="I207" i="1"/>
  <c r="N207" i="1" s="1"/>
  <c r="I208" i="1"/>
  <c r="N208" i="1" s="1"/>
  <c r="I209" i="1"/>
  <c r="N209" i="1" s="1"/>
  <c r="I210" i="1"/>
  <c r="N210" i="1" s="1"/>
  <c r="I211" i="1"/>
  <c r="N211" i="1" s="1"/>
  <c r="I212" i="1"/>
  <c r="N212" i="1" s="1"/>
  <c r="I213" i="1"/>
  <c r="N213" i="1" s="1"/>
  <c r="I214" i="1"/>
  <c r="N214" i="1" s="1"/>
  <c r="I215" i="1"/>
  <c r="N215" i="1" s="1"/>
  <c r="I216" i="1"/>
  <c r="N216" i="1" s="1"/>
  <c r="I217" i="1"/>
  <c r="N217" i="1" s="1"/>
  <c r="I218" i="1"/>
  <c r="N218" i="1" s="1"/>
  <c r="I219" i="1"/>
  <c r="N219" i="1" s="1"/>
  <c r="I220" i="1"/>
  <c r="N220" i="1" s="1"/>
  <c r="I221" i="1"/>
  <c r="N221" i="1" s="1"/>
  <c r="I222" i="1"/>
  <c r="N222" i="1" s="1"/>
  <c r="I223" i="1"/>
  <c r="N223" i="1" s="1"/>
  <c r="I224" i="1"/>
  <c r="N224" i="1" s="1"/>
  <c r="I225" i="1"/>
  <c r="N225" i="1" s="1"/>
  <c r="I226" i="1"/>
  <c r="N226" i="1" s="1"/>
  <c r="I227" i="1"/>
  <c r="N227" i="1" s="1"/>
  <c r="I228" i="1"/>
  <c r="N228" i="1" s="1"/>
  <c r="I229" i="1"/>
  <c r="N229" i="1" s="1"/>
  <c r="I230" i="1"/>
  <c r="N230" i="1" s="1"/>
  <c r="I231" i="1"/>
  <c r="N231" i="1" s="1"/>
  <c r="I232" i="1"/>
  <c r="N232" i="1" s="1"/>
  <c r="I233" i="1"/>
  <c r="N233" i="1" s="1"/>
  <c r="I234" i="1"/>
  <c r="N234" i="1" s="1"/>
  <c r="I235" i="1"/>
  <c r="N235" i="1" s="1"/>
  <c r="I236" i="1"/>
  <c r="N236" i="1" s="1"/>
  <c r="I237" i="1"/>
  <c r="N237" i="1" s="1"/>
  <c r="I238" i="1"/>
  <c r="N238" i="1" s="1"/>
  <c r="I239" i="1"/>
  <c r="N239" i="1" s="1"/>
  <c r="I240" i="1"/>
  <c r="N240" i="1" s="1"/>
  <c r="I241" i="1"/>
  <c r="N241" i="1" s="1"/>
  <c r="I242" i="1"/>
  <c r="N242" i="1" s="1"/>
  <c r="I243" i="1"/>
  <c r="N243" i="1" s="1"/>
  <c r="I244" i="1"/>
  <c r="N244" i="1" s="1"/>
  <c r="I245" i="1"/>
  <c r="N245" i="1" s="1"/>
  <c r="I246" i="1"/>
  <c r="N246" i="1" s="1"/>
  <c r="I247" i="1"/>
  <c r="N247" i="1" s="1"/>
  <c r="I248" i="1"/>
  <c r="N248" i="1" s="1"/>
  <c r="I249" i="1"/>
  <c r="N249" i="1" s="1"/>
  <c r="I250" i="1"/>
  <c r="N250" i="1" s="1"/>
  <c r="I251" i="1"/>
  <c r="N251" i="1" s="1"/>
  <c r="I252" i="1"/>
  <c r="N252" i="1" s="1"/>
  <c r="I253" i="1"/>
  <c r="N253" i="1" s="1"/>
  <c r="I254" i="1"/>
  <c r="N254" i="1" s="1"/>
  <c r="I255" i="1"/>
  <c r="N255" i="1" s="1"/>
  <c r="I256" i="1"/>
  <c r="N256" i="1" s="1"/>
  <c r="I257" i="1"/>
  <c r="N257" i="1" s="1"/>
  <c r="I258" i="1"/>
  <c r="N258" i="1" s="1"/>
  <c r="I259" i="1"/>
  <c r="N259" i="1" s="1"/>
  <c r="I260" i="1"/>
  <c r="N260" i="1" s="1"/>
  <c r="I261" i="1"/>
  <c r="N261" i="1" s="1"/>
  <c r="I262" i="1"/>
  <c r="N262" i="1" s="1"/>
  <c r="I263" i="1"/>
  <c r="N263" i="1" s="1"/>
  <c r="I264" i="1"/>
  <c r="N264" i="1" s="1"/>
  <c r="I265" i="1"/>
  <c r="N265" i="1" s="1"/>
  <c r="I266" i="1"/>
  <c r="N266" i="1" s="1"/>
  <c r="I267" i="1"/>
  <c r="N267" i="1" s="1"/>
  <c r="I268" i="1"/>
  <c r="N268" i="1" s="1"/>
  <c r="I269" i="1"/>
  <c r="N269" i="1" s="1"/>
  <c r="I270" i="1"/>
  <c r="N270" i="1" s="1"/>
  <c r="I271" i="1"/>
  <c r="N271" i="1" s="1"/>
  <c r="I272" i="1"/>
  <c r="N272" i="1" s="1"/>
  <c r="I273" i="1"/>
  <c r="N273" i="1" s="1"/>
  <c r="I274" i="1"/>
  <c r="N274" i="1" s="1"/>
  <c r="I275" i="1"/>
  <c r="N275" i="1" s="1"/>
  <c r="I276" i="1"/>
  <c r="N276" i="1" s="1"/>
  <c r="I277" i="1"/>
  <c r="N277" i="1" s="1"/>
  <c r="I278" i="1"/>
  <c r="N278" i="1" s="1"/>
  <c r="I279" i="1"/>
  <c r="N279" i="1" s="1"/>
  <c r="I280" i="1"/>
  <c r="N280" i="1" s="1"/>
  <c r="I281" i="1"/>
  <c r="N281" i="1" s="1"/>
  <c r="I282" i="1"/>
  <c r="N282" i="1" s="1"/>
  <c r="I283" i="1"/>
  <c r="N283" i="1" s="1"/>
  <c r="I284" i="1"/>
  <c r="N284" i="1" s="1"/>
  <c r="I285" i="1"/>
  <c r="N285" i="1" s="1"/>
  <c r="I286" i="1"/>
  <c r="N286" i="1" s="1"/>
  <c r="I287" i="1"/>
  <c r="N287" i="1" s="1"/>
  <c r="I288" i="1"/>
  <c r="N288" i="1" s="1"/>
  <c r="I289" i="1"/>
  <c r="N289" i="1" s="1"/>
  <c r="I290" i="1"/>
  <c r="N290" i="1" s="1"/>
  <c r="I291" i="1"/>
  <c r="N291" i="1" s="1"/>
  <c r="I292" i="1"/>
  <c r="N292" i="1" s="1"/>
  <c r="I293" i="1"/>
  <c r="N293" i="1" s="1"/>
  <c r="I294" i="1"/>
  <c r="N294" i="1" s="1"/>
  <c r="I295" i="1"/>
  <c r="N295" i="1" s="1"/>
  <c r="I296" i="1"/>
  <c r="N296" i="1" s="1"/>
  <c r="I297" i="1"/>
  <c r="N297" i="1" s="1"/>
  <c r="I298" i="1"/>
  <c r="N298" i="1" s="1"/>
  <c r="I299" i="1"/>
  <c r="N299" i="1" s="1"/>
  <c r="I300" i="1"/>
  <c r="N300" i="1" s="1"/>
  <c r="I301" i="1"/>
  <c r="N301" i="1" s="1"/>
  <c r="I302" i="1"/>
  <c r="N302" i="1" s="1"/>
  <c r="I303" i="1"/>
  <c r="N303" i="1" s="1"/>
  <c r="I304" i="1"/>
  <c r="N304" i="1" s="1"/>
  <c r="I305" i="1"/>
  <c r="N305" i="1" s="1"/>
  <c r="I306" i="1"/>
  <c r="N306" i="1" s="1"/>
  <c r="I307" i="1"/>
  <c r="N307" i="1" s="1"/>
  <c r="I308" i="1"/>
  <c r="N308" i="1" s="1"/>
  <c r="I309" i="1"/>
  <c r="N309" i="1" s="1"/>
  <c r="I310" i="1"/>
  <c r="N310" i="1" s="1"/>
  <c r="I311" i="1"/>
  <c r="N311" i="1" s="1"/>
  <c r="I312" i="1"/>
  <c r="N312" i="1" s="1"/>
  <c r="I313" i="1"/>
  <c r="N313" i="1" s="1"/>
  <c r="I314" i="1"/>
  <c r="N314" i="1" s="1"/>
  <c r="I315" i="1"/>
  <c r="N315" i="1" s="1"/>
  <c r="I316" i="1"/>
  <c r="N316" i="1" s="1"/>
  <c r="I317" i="1"/>
  <c r="N317" i="1" s="1"/>
  <c r="I318" i="1"/>
  <c r="N318" i="1" s="1"/>
  <c r="I319" i="1"/>
  <c r="N319" i="1" s="1"/>
  <c r="I320" i="1"/>
  <c r="N320" i="1" s="1"/>
  <c r="I321" i="1"/>
  <c r="N321" i="1" s="1"/>
  <c r="I322" i="1"/>
  <c r="N322" i="1" s="1"/>
  <c r="I323" i="1"/>
  <c r="N323" i="1" s="1"/>
  <c r="I324" i="1"/>
  <c r="N324" i="1" s="1"/>
  <c r="I325" i="1"/>
  <c r="N325" i="1" s="1"/>
  <c r="I326" i="1"/>
  <c r="N326" i="1" s="1"/>
  <c r="I327" i="1"/>
  <c r="N327" i="1" s="1"/>
  <c r="I328" i="1"/>
  <c r="N328" i="1" s="1"/>
  <c r="I329" i="1"/>
  <c r="N329" i="1" s="1"/>
  <c r="I330" i="1"/>
  <c r="N330" i="1" s="1"/>
  <c r="I331" i="1"/>
  <c r="N331" i="1" s="1"/>
  <c r="I332" i="1"/>
  <c r="N332" i="1" s="1"/>
  <c r="I333" i="1"/>
  <c r="N333" i="1" s="1"/>
  <c r="I334" i="1"/>
  <c r="N334" i="1" s="1"/>
  <c r="I335" i="1"/>
  <c r="N335" i="1" s="1"/>
  <c r="I336" i="1"/>
  <c r="N336" i="1" s="1"/>
  <c r="I337" i="1"/>
  <c r="N337" i="1" s="1"/>
  <c r="I338" i="1"/>
  <c r="N338" i="1" s="1"/>
  <c r="I339" i="1"/>
  <c r="N339" i="1" s="1"/>
  <c r="I340" i="1"/>
  <c r="N340" i="1" s="1"/>
  <c r="I341" i="1"/>
  <c r="N341" i="1" s="1"/>
  <c r="I342" i="1"/>
  <c r="N342" i="1" s="1"/>
  <c r="I343" i="1"/>
  <c r="N343" i="1" s="1"/>
  <c r="I344" i="1"/>
  <c r="N344" i="1" s="1"/>
  <c r="I345" i="1"/>
  <c r="N345" i="1" s="1"/>
  <c r="I346" i="1"/>
  <c r="N346" i="1" s="1"/>
  <c r="I347" i="1"/>
  <c r="N347" i="1" s="1"/>
  <c r="I348" i="1"/>
  <c r="N348" i="1" s="1"/>
  <c r="I349" i="1"/>
  <c r="N349" i="1" s="1"/>
  <c r="I350" i="1"/>
  <c r="N350" i="1" s="1"/>
  <c r="I351" i="1"/>
  <c r="N351" i="1" s="1"/>
  <c r="I352" i="1"/>
  <c r="N352" i="1" s="1"/>
  <c r="I353" i="1"/>
  <c r="N353" i="1" s="1"/>
  <c r="I354" i="1"/>
  <c r="N354" i="1" s="1"/>
  <c r="I355" i="1"/>
  <c r="N355" i="1" s="1"/>
  <c r="I356" i="1"/>
  <c r="N356" i="1" s="1"/>
  <c r="I357" i="1"/>
  <c r="N357" i="1" s="1"/>
  <c r="I358" i="1"/>
  <c r="N358" i="1" s="1"/>
  <c r="I359" i="1"/>
  <c r="N359" i="1" s="1"/>
  <c r="I360" i="1"/>
  <c r="N360" i="1" s="1"/>
  <c r="I361" i="1"/>
  <c r="N361" i="1" s="1"/>
  <c r="I362" i="1"/>
  <c r="N362" i="1" s="1"/>
  <c r="I363" i="1"/>
  <c r="I364" i="1"/>
  <c r="N364" i="1" s="1"/>
  <c r="I365" i="1"/>
  <c r="N365" i="1" s="1"/>
  <c r="I366" i="1"/>
  <c r="N366" i="1" s="1"/>
  <c r="I367" i="1"/>
  <c r="I368" i="1"/>
  <c r="N368" i="1" s="1"/>
  <c r="I369" i="1"/>
  <c r="N369" i="1" s="1"/>
  <c r="I370" i="1"/>
  <c r="N370" i="1" s="1"/>
  <c r="I371" i="1"/>
  <c r="N371" i="1" s="1"/>
  <c r="I372" i="1"/>
  <c r="N372" i="1" s="1"/>
  <c r="I373" i="1"/>
  <c r="N373" i="1" s="1"/>
  <c r="I374" i="1"/>
  <c r="N374" i="1" s="1"/>
  <c r="I375" i="1"/>
  <c r="N375" i="1" s="1"/>
  <c r="I376" i="1"/>
  <c r="N376" i="1" s="1"/>
  <c r="I377" i="1"/>
  <c r="N377" i="1" s="1"/>
  <c r="I198" i="1"/>
  <c r="N198" i="1" s="1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B107" i="4"/>
  <c r="C107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3" i="4"/>
  <c r="I193" i="1"/>
  <c r="N193" i="1" s="1"/>
  <c r="I194" i="1"/>
  <c r="N194" i="1" s="1"/>
  <c r="I195" i="1"/>
  <c r="N195" i="1" s="1"/>
  <c r="I196" i="1"/>
  <c r="N196" i="1" s="1"/>
  <c r="I197" i="1"/>
  <c r="N197" i="1" s="1"/>
  <c r="I188" i="1"/>
  <c r="N188" i="1" s="1"/>
  <c r="I189" i="1"/>
  <c r="N189" i="1" s="1"/>
  <c r="I190" i="1"/>
  <c r="N190" i="1" s="1"/>
  <c r="I191" i="1"/>
  <c r="N191" i="1" s="1"/>
  <c r="I192" i="1"/>
  <c r="N192" i="1" s="1"/>
  <c r="I183" i="1"/>
  <c r="N183" i="1" s="1"/>
  <c r="I184" i="1"/>
  <c r="N184" i="1" s="1"/>
  <c r="I185" i="1"/>
  <c r="N185" i="1" s="1"/>
  <c r="I186" i="1"/>
  <c r="N186" i="1" s="1"/>
  <c r="I187" i="1"/>
  <c r="N187" i="1" s="1"/>
  <c r="I178" i="1"/>
  <c r="N178" i="1" s="1"/>
  <c r="I179" i="1"/>
  <c r="N179" i="1" s="1"/>
  <c r="I180" i="1"/>
  <c r="N180" i="1" s="1"/>
  <c r="I181" i="1"/>
  <c r="N181" i="1" s="1"/>
  <c r="I182" i="1"/>
  <c r="N182" i="1" s="1"/>
  <c r="I173" i="1"/>
  <c r="N173" i="1" s="1"/>
  <c r="I174" i="1"/>
  <c r="N174" i="1" s="1"/>
  <c r="I175" i="1"/>
  <c r="N175" i="1" s="1"/>
  <c r="I176" i="1"/>
  <c r="N176" i="1" s="1"/>
  <c r="I177" i="1"/>
  <c r="N177" i="1" s="1"/>
  <c r="I168" i="1"/>
  <c r="N168" i="1" s="1"/>
  <c r="I169" i="1"/>
  <c r="N169" i="1" s="1"/>
  <c r="I170" i="1"/>
  <c r="N170" i="1" s="1"/>
  <c r="I171" i="1"/>
  <c r="N171" i="1" s="1"/>
  <c r="I172" i="1"/>
  <c r="N172" i="1" s="1"/>
  <c r="I163" i="1"/>
  <c r="N163" i="1" s="1"/>
  <c r="I164" i="1"/>
  <c r="N164" i="1" s="1"/>
  <c r="I165" i="1"/>
  <c r="N165" i="1" s="1"/>
  <c r="I166" i="1"/>
  <c r="N166" i="1" s="1"/>
  <c r="I167" i="1"/>
  <c r="N167" i="1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158" i="1"/>
  <c r="N158" i="1" s="1"/>
  <c r="I159" i="1"/>
  <c r="N159" i="1" s="1"/>
  <c r="I160" i="1"/>
  <c r="N160" i="1" s="1"/>
  <c r="I161" i="1"/>
  <c r="N161" i="1" s="1"/>
  <c r="I162" i="1"/>
  <c r="N162" i="1" s="1"/>
  <c r="I153" i="1"/>
  <c r="N153" i="1" s="1"/>
  <c r="I154" i="1"/>
  <c r="N154" i="1" s="1"/>
  <c r="I155" i="1"/>
  <c r="N155" i="1" s="1"/>
  <c r="I156" i="1"/>
  <c r="N156" i="1" s="1"/>
  <c r="I157" i="1"/>
  <c r="N157" i="1" s="1"/>
  <c r="I3" i="2"/>
  <c r="N3" i="2" s="1"/>
  <c r="I148" i="1"/>
  <c r="N148" i="1" s="1"/>
  <c r="I149" i="1"/>
  <c r="N149" i="1" s="1"/>
  <c r="I150" i="1"/>
  <c r="N150" i="1" s="1"/>
  <c r="I151" i="1"/>
  <c r="N151" i="1" s="1"/>
  <c r="I152" i="1"/>
  <c r="N152" i="1" s="1"/>
  <c r="I143" i="1"/>
  <c r="N143" i="1" s="1"/>
  <c r="I144" i="1"/>
  <c r="N144" i="1" s="1"/>
  <c r="I145" i="1"/>
  <c r="N145" i="1" s="1"/>
  <c r="I146" i="1"/>
  <c r="N146" i="1" s="1"/>
  <c r="I147" i="1"/>
  <c r="N147" i="1" s="1"/>
  <c r="I138" i="1"/>
  <c r="N138" i="1" s="1"/>
  <c r="I139" i="1"/>
  <c r="N139" i="1" s="1"/>
  <c r="I140" i="1"/>
  <c r="N140" i="1" s="1"/>
  <c r="I141" i="1"/>
  <c r="N141" i="1" s="1"/>
  <c r="I142" i="1"/>
  <c r="N142" i="1" s="1"/>
  <c r="I133" i="1"/>
  <c r="N133" i="1" s="1"/>
  <c r="I134" i="1"/>
  <c r="N134" i="1" s="1"/>
  <c r="I135" i="1"/>
  <c r="N135" i="1" s="1"/>
  <c r="I136" i="1"/>
  <c r="N136" i="1" s="1"/>
  <c r="I137" i="1"/>
  <c r="N137" i="1" s="1"/>
  <c r="I128" i="1"/>
  <c r="N128" i="1" s="1"/>
  <c r="I129" i="1"/>
  <c r="N129" i="1" s="1"/>
  <c r="I130" i="1"/>
  <c r="N130" i="1" s="1"/>
  <c r="I131" i="1"/>
  <c r="N131" i="1" s="1"/>
  <c r="I132" i="1"/>
  <c r="N132" i="1" s="1"/>
  <c r="I123" i="1"/>
  <c r="N123" i="1" s="1"/>
  <c r="I124" i="1"/>
  <c r="N124" i="1" s="1"/>
  <c r="I125" i="1"/>
  <c r="N125" i="1" s="1"/>
  <c r="I126" i="1"/>
  <c r="N126" i="1" s="1"/>
  <c r="I127" i="1"/>
  <c r="N127" i="1" s="1"/>
  <c r="I118" i="1"/>
  <c r="N118" i="1" s="1"/>
  <c r="I119" i="1"/>
  <c r="N119" i="1" s="1"/>
  <c r="I120" i="1"/>
  <c r="N120" i="1" s="1"/>
  <c r="I121" i="1"/>
  <c r="N121" i="1" s="1"/>
  <c r="I122" i="1"/>
  <c r="N122" i="1" s="1"/>
  <c r="I10" i="2"/>
  <c r="N10" i="2" s="1"/>
  <c r="I11" i="2"/>
  <c r="N11" i="2" s="1"/>
  <c r="I12" i="2"/>
  <c r="N12" i="2" s="1"/>
  <c r="I13" i="2"/>
  <c r="N13" i="2" s="1"/>
  <c r="I14" i="2"/>
  <c r="N14" i="2" s="1"/>
  <c r="I15" i="2"/>
  <c r="N15" i="2" s="1"/>
  <c r="I16" i="2"/>
  <c r="N16" i="2" s="1"/>
  <c r="I17" i="2"/>
  <c r="N17" i="2" s="1"/>
  <c r="I18" i="2"/>
  <c r="N18" i="2" s="1"/>
  <c r="I19" i="2"/>
  <c r="N19" i="2" s="1"/>
  <c r="I20" i="2"/>
  <c r="N20" i="2" s="1"/>
  <c r="I21" i="2"/>
  <c r="N21" i="2" s="1"/>
  <c r="I22" i="2"/>
  <c r="N22" i="2" s="1"/>
  <c r="I23" i="2"/>
  <c r="N23" i="2" s="1"/>
  <c r="I24" i="2"/>
  <c r="N24" i="2" s="1"/>
  <c r="I25" i="2"/>
  <c r="N25" i="2" s="1"/>
  <c r="I26" i="2"/>
  <c r="N26" i="2" s="1"/>
  <c r="I27" i="2"/>
  <c r="N27" i="2" s="1"/>
  <c r="I28" i="2"/>
  <c r="N28" i="2" s="1"/>
  <c r="I29" i="2"/>
  <c r="N29" i="2" s="1"/>
  <c r="I30" i="2"/>
  <c r="N30" i="2" s="1"/>
  <c r="I31" i="2"/>
  <c r="N31" i="2" s="1"/>
  <c r="I32" i="2"/>
  <c r="N32" i="2" s="1"/>
  <c r="I33" i="2"/>
  <c r="N33" i="2" s="1"/>
  <c r="I34" i="2"/>
  <c r="N34" i="2" s="1"/>
  <c r="I35" i="2"/>
  <c r="N35" i="2" s="1"/>
  <c r="I36" i="2"/>
  <c r="N36" i="2" s="1"/>
  <c r="I37" i="2"/>
  <c r="N37" i="2" s="1"/>
  <c r="I38" i="2"/>
  <c r="N38" i="2" s="1"/>
  <c r="I39" i="2"/>
  <c r="N39" i="2" s="1"/>
  <c r="I40" i="2"/>
  <c r="N40" i="2" s="1"/>
  <c r="I41" i="2"/>
  <c r="N41" i="2" s="1"/>
  <c r="I42" i="2"/>
  <c r="N42" i="2" s="1"/>
  <c r="I43" i="2"/>
  <c r="N43" i="2" s="1"/>
  <c r="I44" i="2"/>
  <c r="N44" i="2" s="1"/>
  <c r="I45" i="2"/>
  <c r="N45" i="2" s="1"/>
  <c r="I46" i="2"/>
  <c r="N46" i="2" s="1"/>
  <c r="I47" i="2"/>
  <c r="N47" i="2" s="1"/>
  <c r="I48" i="2"/>
  <c r="N48" i="2" s="1"/>
  <c r="I49" i="2"/>
  <c r="N49" i="2" s="1"/>
  <c r="I50" i="2"/>
  <c r="N50" i="2" s="1"/>
  <c r="I51" i="2"/>
  <c r="N51" i="2" s="1"/>
  <c r="I52" i="2"/>
  <c r="N52" i="2" s="1"/>
  <c r="I53" i="2"/>
  <c r="N53" i="2" s="1"/>
  <c r="I54" i="2"/>
  <c r="N54" i="2" s="1"/>
  <c r="I55" i="2"/>
  <c r="N55" i="2" s="1"/>
  <c r="I56" i="2"/>
  <c r="N56" i="2" s="1"/>
  <c r="I57" i="2"/>
  <c r="N57" i="2" s="1"/>
  <c r="I58" i="2"/>
  <c r="N58" i="2" s="1"/>
  <c r="I59" i="2"/>
  <c r="N59" i="2" s="1"/>
  <c r="I60" i="2"/>
  <c r="N60" i="2" s="1"/>
  <c r="I61" i="2"/>
  <c r="N61" i="2" s="1"/>
  <c r="I62" i="2"/>
  <c r="N62" i="2" s="1"/>
  <c r="I63" i="2"/>
  <c r="N63" i="2" s="1"/>
  <c r="I64" i="2"/>
  <c r="N64" i="2" s="1"/>
  <c r="I65" i="2"/>
  <c r="N65" i="2" s="1"/>
  <c r="I66" i="2"/>
  <c r="N66" i="2" s="1"/>
  <c r="I67" i="2"/>
  <c r="N67" i="2" s="1"/>
  <c r="I68" i="2"/>
  <c r="N68" i="2" s="1"/>
  <c r="I69" i="2"/>
  <c r="N69" i="2" s="1"/>
  <c r="I70" i="2"/>
  <c r="N70" i="2" s="1"/>
  <c r="I71" i="2"/>
  <c r="N71" i="2" s="1"/>
  <c r="I72" i="2"/>
  <c r="N72" i="2" s="1"/>
  <c r="I73" i="2"/>
  <c r="N73" i="2" s="1"/>
  <c r="I74" i="2"/>
  <c r="N74" i="2" s="1"/>
  <c r="I75" i="2"/>
  <c r="N75" i="2" s="1"/>
  <c r="I76" i="2"/>
  <c r="N76" i="2" s="1"/>
  <c r="I77" i="2"/>
  <c r="N77" i="2" s="1"/>
  <c r="I78" i="2"/>
  <c r="N78" i="2" s="1"/>
  <c r="I79" i="2"/>
  <c r="N79" i="2" s="1"/>
  <c r="I80" i="2"/>
  <c r="N80" i="2" s="1"/>
  <c r="I81" i="2"/>
  <c r="N81" i="2" s="1"/>
  <c r="I82" i="2"/>
  <c r="N82" i="2" s="1"/>
  <c r="I83" i="2"/>
  <c r="N83" i="2" s="1"/>
  <c r="I84" i="2"/>
  <c r="N84" i="2" s="1"/>
  <c r="I85" i="2"/>
  <c r="N85" i="2" s="1"/>
  <c r="I86" i="2"/>
  <c r="N86" i="2" s="1"/>
  <c r="I87" i="2"/>
  <c r="N87" i="2" s="1"/>
  <c r="I88" i="2"/>
  <c r="N88" i="2" s="1"/>
  <c r="I89" i="2"/>
  <c r="N89" i="2" s="1"/>
  <c r="I90" i="2"/>
  <c r="N90" i="2" s="1"/>
  <c r="I91" i="2"/>
  <c r="N91" i="2" s="1"/>
  <c r="I92" i="2"/>
  <c r="N92" i="2" s="1"/>
  <c r="I93" i="2"/>
  <c r="N93" i="2" s="1"/>
  <c r="I94" i="2"/>
  <c r="N94" i="2" s="1"/>
  <c r="I95" i="2"/>
  <c r="N95" i="2" s="1"/>
  <c r="I96" i="2"/>
  <c r="N96" i="2" s="1"/>
  <c r="I97" i="2"/>
  <c r="N97" i="2" s="1"/>
  <c r="I98" i="2"/>
  <c r="N98" i="2" s="1"/>
  <c r="I99" i="2"/>
  <c r="N99" i="2" s="1"/>
  <c r="I100" i="2"/>
  <c r="N100" i="2" s="1"/>
  <c r="I101" i="2"/>
  <c r="N101" i="2" s="1"/>
  <c r="I102" i="2"/>
  <c r="N102" i="2" s="1"/>
  <c r="I103" i="2"/>
  <c r="N103" i="2" s="1"/>
  <c r="I104" i="2"/>
  <c r="N104" i="2" s="1"/>
  <c r="I105" i="2"/>
  <c r="N105" i="2" s="1"/>
  <c r="I106" i="2"/>
  <c r="N106" i="2" s="1"/>
  <c r="I107" i="2"/>
  <c r="N107" i="2" s="1"/>
  <c r="I108" i="2"/>
  <c r="N108" i="2" s="1"/>
  <c r="I109" i="2"/>
  <c r="N109" i="2" s="1"/>
  <c r="I110" i="2"/>
  <c r="N110" i="2" s="1"/>
  <c r="I111" i="2"/>
  <c r="N111" i="2" s="1"/>
  <c r="I112" i="2"/>
  <c r="N112" i="2" s="1"/>
  <c r="I113" i="2"/>
  <c r="N113" i="2" s="1"/>
  <c r="I114" i="2"/>
  <c r="N114" i="2" s="1"/>
  <c r="I115" i="2"/>
  <c r="N115" i="2" s="1"/>
  <c r="I116" i="2"/>
  <c r="N116" i="2" s="1"/>
  <c r="I117" i="2"/>
  <c r="N117" i="2" s="1"/>
  <c r="I118" i="2"/>
  <c r="N118" i="2" s="1"/>
  <c r="I119" i="2"/>
  <c r="N119" i="2" s="1"/>
  <c r="I120" i="2"/>
  <c r="N120" i="2" s="1"/>
  <c r="I121" i="2"/>
  <c r="N121" i="2" s="1"/>
  <c r="I122" i="2"/>
  <c r="N122" i="2" s="1"/>
  <c r="I123" i="2"/>
  <c r="N123" i="2" s="1"/>
  <c r="I124" i="2"/>
  <c r="N124" i="2" s="1"/>
  <c r="I125" i="2"/>
  <c r="N125" i="2" s="1"/>
  <c r="I126" i="2"/>
  <c r="N126" i="2" s="1"/>
  <c r="I127" i="2"/>
  <c r="N127" i="2" s="1"/>
  <c r="I128" i="2"/>
  <c r="N128" i="2" s="1"/>
  <c r="I129" i="2"/>
  <c r="N129" i="2" s="1"/>
  <c r="I130" i="2"/>
  <c r="N130" i="2" s="1"/>
  <c r="I131" i="2"/>
  <c r="N131" i="2" s="1"/>
  <c r="I132" i="2"/>
  <c r="N132" i="2" s="1"/>
  <c r="I133" i="2"/>
  <c r="N133" i="2" s="1"/>
  <c r="I134" i="2"/>
  <c r="N134" i="2" s="1"/>
  <c r="I135" i="2"/>
  <c r="N135" i="2" s="1"/>
  <c r="I136" i="2"/>
  <c r="N136" i="2" s="1"/>
  <c r="I137" i="2"/>
  <c r="N137" i="2" s="1"/>
  <c r="I138" i="2"/>
  <c r="N138" i="2" s="1"/>
  <c r="I139" i="2"/>
  <c r="N139" i="2" s="1"/>
  <c r="I140" i="2"/>
  <c r="N140" i="2" s="1"/>
  <c r="I141" i="2"/>
  <c r="N141" i="2" s="1"/>
  <c r="I142" i="2"/>
  <c r="N142" i="2" s="1"/>
  <c r="I143" i="2"/>
  <c r="N143" i="2" s="1"/>
  <c r="I144" i="2"/>
  <c r="N144" i="2" s="1"/>
  <c r="I145" i="2"/>
  <c r="N145" i="2" s="1"/>
  <c r="I146" i="2"/>
  <c r="N146" i="2" s="1"/>
  <c r="I147" i="2"/>
  <c r="N147" i="2" s="1"/>
  <c r="I148" i="2"/>
  <c r="N148" i="2" s="1"/>
  <c r="I149" i="2"/>
  <c r="N149" i="2" s="1"/>
  <c r="I150" i="2"/>
  <c r="N150" i="2" s="1"/>
  <c r="I151" i="2"/>
  <c r="N151" i="2" s="1"/>
  <c r="I152" i="2"/>
  <c r="N152" i="2" s="1"/>
  <c r="I153" i="2"/>
  <c r="N153" i="2" s="1"/>
  <c r="I154" i="2"/>
  <c r="N154" i="2" s="1"/>
  <c r="I155" i="2"/>
  <c r="N155" i="2" s="1"/>
  <c r="I156" i="2"/>
  <c r="N156" i="2" s="1"/>
  <c r="I157" i="2"/>
  <c r="N157" i="2" s="1"/>
  <c r="I158" i="2"/>
  <c r="N158" i="2" s="1"/>
  <c r="I159" i="2"/>
  <c r="N159" i="2" s="1"/>
  <c r="I160" i="2"/>
  <c r="N160" i="2" s="1"/>
  <c r="I161" i="2"/>
  <c r="N161" i="2" s="1"/>
  <c r="I162" i="2"/>
  <c r="N162" i="2" s="1"/>
  <c r="I163" i="2"/>
  <c r="N163" i="2" s="1"/>
  <c r="I164" i="2"/>
  <c r="N164" i="2" s="1"/>
  <c r="I165" i="2"/>
  <c r="N165" i="2" s="1"/>
  <c r="I166" i="2"/>
  <c r="N166" i="2" s="1"/>
  <c r="I167" i="2"/>
  <c r="N167" i="2" s="1"/>
  <c r="I168" i="2"/>
  <c r="N168" i="2" s="1"/>
  <c r="I169" i="2"/>
  <c r="N169" i="2" s="1"/>
  <c r="I170" i="2"/>
  <c r="N170" i="2" s="1"/>
  <c r="I171" i="2"/>
  <c r="N171" i="2" s="1"/>
  <c r="I172" i="2"/>
  <c r="N172" i="2" s="1"/>
  <c r="I173" i="2"/>
  <c r="N173" i="2" s="1"/>
  <c r="I174" i="2"/>
  <c r="N174" i="2" s="1"/>
  <c r="I175" i="2"/>
  <c r="N175" i="2" s="1"/>
  <c r="I176" i="2"/>
  <c r="N176" i="2" s="1"/>
  <c r="I177" i="2"/>
  <c r="N177" i="2" s="1"/>
  <c r="I178" i="2"/>
  <c r="N178" i="2" s="1"/>
  <c r="I179" i="2"/>
  <c r="N179" i="2" s="1"/>
  <c r="I180" i="2"/>
  <c r="N180" i="2" s="1"/>
  <c r="I181" i="2"/>
  <c r="N181" i="2" s="1"/>
  <c r="I182" i="2"/>
  <c r="N182" i="2" s="1"/>
  <c r="I183" i="2"/>
  <c r="N183" i="2" s="1"/>
  <c r="I184" i="2"/>
  <c r="N184" i="2" s="1"/>
  <c r="I185" i="2"/>
  <c r="N185" i="2" s="1"/>
  <c r="I186" i="2"/>
  <c r="N186" i="2" s="1"/>
  <c r="I187" i="2"/>
  <c r="N187" i="2" s="1"/>
  <c r="I188" i="2"/>
  <c r="N188" i="2" s="1"/>
  <c r="I189" i="2"/>
  <c r="N189" i="2" s="1"/>
  <c r="I190" i="2"/>
  <c r="N190" i="2" s="1"/>
  <c r="I191" i="2"/>
  <c r="N191" i="2" s="1"/>
  <c r="I192" i="2"/>
  <c r="N192" i="2" s="1"/>
  <c r="I193" i="2"/>
  <c r="N193" i="2" s="1"/>
  <c r="I194" i="2"/>
  <c r="N194" i="2" s="1"/>
  <c r="I195" i="2"/>
  <c r="N195" i="2" s="1"/>
  <c r="I196" i="2"/>
  <c r="N196" i="2" s="1"/>
  <c r="I197" i="2"/>
  <c r="N197" i="2" s="1"/>
  <c r="I198" i="2"/>
  <c r="N198" i="2" s="1"/>
  <c r="I199" i="2"/>
  <c r="N199" i="2" s="1"/>
  <c r="I200" i="2"/>
  <c r="N200" i="2" s="1"/>
  <c r="I201" i="2"/>
  <c r="N201" i="2" s="1"/>
  <c r="I202" i="2"/>
  <c r="N202" i="2" s="1"/>
  <c r="I203" i="2"/>
  <c r="N203" i="2" s="1"/>
  <c r="I204" i="2"/>
  <c r="N204" i="2" s="1"/>
  <c r="I205" i="2"/>
  <c r="N205" i="2" s="1"/>
  <c r="I206" i="2"/>
  <c r="N206" i="2" s="1"/>
  <c r="I207" i="2"/>
  <c r="N207" i="2" s="1"/>
  <c r="I208" i="2"/>
  <c r="N208" i="2" s="1"/>
  <c r="I209" i="2"/>
  <c r="N209" i="2" s="1"/>
  <c r="I210" i="2"/>
  <c r="N210" i="2" s="1"/>
  <c r="I211" i="2"/>
  <c r="N211" i="2" s="1"/>
  <c r="I212" i="2"/>
  <c r="N212" i="2" s="1"/>
  <c r="I213" i="2"/>
  <c r="N213" i="2" s="1"/>
  <c r="I214" i="2"/>
  <c r="N214" i="2" s="1"/>
  <c r="I215" i="2"/>
  <c r="N215" i="2" s="1"/>
  <c r="I216" i="2"/>
  <c r="N216" i="2" s="1"/>
  <c r="I217" i="2"/>
  <c r="N217" i="2" s="1"/>
  <c r="I218" i="2"/>
  <c r="N218" i="2" s="1"/>
  <c r="I219" i="2"/>
  <c r="N219" i="2" s="1"/>
  <c r="I220" i="2"/>
  <c r="N220" i="2" s="1"/>
  <c r="I221" i="2"/>
  <c r="N221" i="2" s="1"/>
  <c r="I222" i="2"/>
  <c r="N222" i="2" s="1"/>
  <c r="I223" i="2"/>
  <c r="N223" i="2" s="1"/>
  <c r="I224" i="2"/>
  <c r="N224" i="2" s="1"/>
  <c r="I225" i="2"/>
  <c r="N225" i="2" s="1"/>
  <c r="I226" i="2"/>
  <c r="N226" i="2" s="1"/>
  <c r="I227" i="2"/>
  <c r="N227" i="2" s="1"/>
  <c r="I228" i="2"/>
  <c r="N228" i="2" s="1"/>
  <c r="I229" i="2"/>
  <c r="N229" i="2" s="1"/>
  <c r="I230" i="2"/>
  <c r="N230" i="2" s="1"/>
  <c r="I231" i="2"/>
  <c r="N231" i="2" s="1"/>
  <c r="I232" i="2"/>
  <c r="N232" i="2" s="1"/>
  <c r="I233" i="2"/>
  <c r="N233" i="2" s="1"/>
  <c r="I234" i="2"/>
  <c r="N234" i="2" s="1"/>
  <c r="I235" i="2"/>
  <c r="N235" i="2" s="1"/>
  <c r="I236" i="2"/>
  <c r="N236" i="2" s="1"/>
  <c r="I237" i="2"/>
  <c r="N237" i="2" s="1"/>
  <c r="I238" i="2"/>
  <c r="N238" i="2" s="1"/>
  <c r="I239" i="2"/>
  <c r="N239" i="2" s="1"/>
  <c r="I240" i="2"/>
  <c r="N240" i="2" s="1"/>
  <c r="I241" i="2"/>
  <c r="N241" i="2" s="1"/>
  <c r="I242" i="2"/>
  <c r="N242" i="2" s="1"/>
  <c r="I243" i="2"/>
  <c r="N243" i="2" s="1"/>
  <c r="I244" i="2"/>
  <c r="N244" i="2" s="1"/>
  <c r="I245" i="2"/>
  <c r="N245" i="2" s="1"/>
  <c r="I246" i="2"/>
  <c r="N246" i="2" s="1"/>
  <c r="I247" i="2"/>
  <c r="N247" i="2" s="1"/>
  <c r="I248" i="2"/>
  <c r="N248" i="2" s="1"/>
  <c r="I249" i="2"/>
  <c r="N249" i="2" s="1"/>
  <c r="I250" i="2"/>
  <c r="N250" i="2" s="1"/>
  <c r="I251" i="2"/>
  <c r="N251" i="2" s="1"/>
  <c r="I252" i="2"/>
  <c r="N252" i="2" s="1"/>
  <c r="I253" i="2"/>
  <c r="N253" i="2" s="1"/>
  <c r="I254" i="2"/>
  <c r="N254" i="2" s="1"/>
  <c r="I255" i="2"/>
  <c r="N255" i="2" s="1"/>
  <c r="I256" i="2"/>
  <c r="N256" i="2" s="1"/>
  <c r="I257" i="2"/>
  <c r="N257" i="2" s="1"/>
  <c r="I258" i="2"/>
  <c r="N258" i="2" s="1"/>
  <c r="I259" i="2"/>
  <c r="N259" i="2" s="1"/>
  <c r="I260" i="2"/>
  <c r="N260" i="2" s="1"/>
  <c r="I261" i="2"/>
  <c r="N261" i="2" s="1"/>
  <c r="I262" i="2"/>
  <c r="N262" i="2" s="1"/>
  <c r="I263" i="2"/>
  <c r="N263" i="2" s="1"/>
  <c r="I264" i="2"/>
  <c r="N264" i="2" s="1"/>
  <c r="I265" i="2"/>
  <c r="N265" i="2" s="1"/>
  <c r="I266" i="2"/>
  <c r="N266" i="2" s="1"/>
  <c r="I267" i="2"/>
  <c r="N267" i="2" s="1"/>
  <c r="I268" i="2"/>
  <c r="N268" i="2" s="1"/>
  <c r="I269" i="2"/>
  <c r="N269" i="2" s="1"/>
  <c r="I270" i="2"/>
  <c r="N270" i="2" s="1"/>
  <c r="I271" i="2"/>
  <c r="N271" i="2" s="1"/>
  <c r="I272" i="2"/>
  <c r="N272" i="2" s="1"/>
  <c r="I273" i="2"/>
  <c r="N273" i="2" s="1"/>
  <c r="I274" i="2"/>
  <c r="N274" i="2" s="1"/>
  <c r="I275" i="2"/>
  <c r="N275" i="2" s="1"/>
  <c r="I276" i="2"/>
  <c r="N276" i="2" s="1"/>
  <c r="I277" i="2"/>
  <c r="N277" i="2" s="1"/>
  <c r="I278" i="2"/>
  <c r="N278" i="2" s="1"/>
  <c r="I279" i="2"/>
  <c r="N279" i="2" s="1"/>
  <c r="I280" i="2"/>
  <c r="N280" i="2" s="1"/>
  <c r="I281" i="2"/>
  <c r="N281" i="2" s="1"/>
  <c r="I282" i="2"/>
  <c r="N282" i="2" s="1"/>
  <c r="I283" i="2"/>
  <c r="N283" i="2" s="1"/>
  <c r="I284" i="2"/>
  <c r="N284" i="2" s="1"/>
  <c r="I285" i="2"/>
  <c r="N285" i="2" s="1"/>
  <c r="I286" i="2"/>
  <c r="N286" i="2" s="1"/>
  <c r="I287" i="2"/>
  <c r="N287" i="2" s="1"/>
  <c r="I288" i="2"/>
  <c r="N288" i="2" s="1"/>
  <c r="I289" i="2"/>
  <c r="N289" i="2" s="1"/>
  <c r="I290" i="2"/>
  <c r="N290" i="2" s="1"/>
  <c r="I291" i="2"/>
  <c r="N291" i="2" s="1"/>
  <c r="I292" i="2"/>
  <c r="N292" i="2" s="1"/>
  <c r="I293" i="2"/>
  <c r="N293" i="2" s="1"/>
  <c r="I294" i="2"/>
  <c r="N294" i="2" s="1"/>
  <c r="I295" i="2"/>
  <c r="N295" i="2" s="1"/>
  <c r="I296" i="2"/>
  <c r="N296" i="2" s="1"/>
  <c r="I297" i="2"/>
  <c r="N297" i="2" s="1"/>
  <c r="I298" i="2"/>
  <c r="N298" i="2" s="1"/>
  <c r="I299" i="2"/>
  <c r="N299" i="2" s="1"/>
  <c r="I300" i="2"/>
  <c r="N300" i="2" s="1"/>
  <c r="I301" i="2"/>
  <c r="N301" i="2" s="1"/>
  <c r="I302" i="2"/>
  <c r="N302" i="2" s="1"/>
  <c r="I303" i="2"/>
  <c r="N303" i="2" s="1"/>
  <c r="I304" i="2"/>
  <c r="N304" i="2" s="1"/>
  <c r="I305" i="2"/>
  <c r="N305" i="2" s="1"/>
  <c r="I306" i="2"/>
  <c r="N306" i="2" s="1"/>
  <c r="I307" i="2"/>
  <c r="N307" i="2" s="1"/>
  <c r="I308" i="2"/>
  <c r="N308" i="2" s="1"/>
  <c r="I309" i="2"/>
  <c r="N309" i="2" s="1"/>
  <c r="I310" i="2"/>
  <c r="N310" i="2" s="1"/>
  <c r="I311" i="2"/>
  <c r="N311" i="2" s="1"/>
  <c r="I312" i="2"/>
  <c r="N312" i="2" s="1"/>
  <c r="I313" i="2"/>
  <c r="N313" i="2" s="1"/>
  <c r="I314" i="2"/>
  <c r="N314" i="2" s="1"/>
  <c r="I315" i="2"/>
  <c r="N315" i="2" s="1"/>
  <c r="I316" i="2"/>
  <c r="N316" i="2" s="1"/>
  <c r="I317" i="2"/>
  <c r="N317" i="2" s="1"/>
  <c r="I318" i="2"/>
  <c r="N318" i="2" s="1"/>
  <c r="I319" i="2"/>
  <c r="N319" i="2" s="1"/>
  <c r="I320" i="2"/>
  <c r="N320" i="2" s="1"/>
  <c r="I321" i="2"/>
  <c r="N321" i="2" s="1"/>
  <c r="I322" i="2"/>
  <c r="N322" i="2" s="1"/>
  <c r="I323" i="2"/>
  <c r="N323" i="2" s="1"/>
  <c r="I324" i="2"/>
  <c r="N324" i="2" s="1"/>
  <c r="I325" i="2"/>
  <c r="N325" i="2" s="1"/>
  <c r="I326" i="2"/>
  <c r="N326" i="2" s="1"/>
  <c r="I327" i="2"/>
  <c r="N327" i="2" s="1"/>
  <c r="I328" i="2"/>
  <c r="N328" i="2" s="1"/>
  <c r="I329" i="2"/>
  <c r="N329" i="2" s="1"/>
  <c r="I330" i="2"/>
  <c r="N330" i="2" s="1"/>
  <c r="I331" i="2"/>
  <c r="N331" i="2" s="1"/>
  <c r="I332" i="2"/>
  <c r="N332" i="2" s="1"/>
  <c r="I333" i="2"/>
  <c r="N333" i="2" s="1"/>
  <c r="I334" i="2"/>
  <c r="N334" i="2" s="1"/>
  <c r="I335" i="2"/>
  <c r="N335" i="2" s="1"/>
  <c r="I336" i="2"/>
  <c r="N336" i="2" s="1"/>
  <c r="I337" i="2"/>
  <c r="N337" i="2" s="1"/>
  <c r="I338" i="2"/>
  <c r="N338" i="2" s="1"/>
  <c r="I339" i="2"/>
  <c r="N339" i="2" s="1"/>
  <c r="I340" i="2"/>
  <c r="N340" i="2" s="1"/>
  <c r="I341" i="2"/>
  <c r="N341" i="2" s="1"/>
  <c r="I342" i="2"/>
  <c r="N342" i="2" s="1"/>
  <c r="I343" i="2"/>
  <c r="N343" i="2" s="1"/>
  <c r="I344" i="2"/>
  <c r="N344" i="2" s="1"/>
  <c r="I345" i="2"/>
  <c r="N345" i="2" s="1"/>
  <c r="I346" i="2"/>
  <c r="N346" i="2" s="1"/>
  <c r="I347" i="2"/>
  <c r="N347" i="2" s="1"/>
  <c r="I348" i="2"/>
  <c r="N348" i="2" s="1"/>
  <c r="I349" i="2"/>
  <c r="N349" i="2" s="1"/>
  <c r="I350" i="2"/>
  <c r="N350" i="2" s="1"/>
  <c r="I351" i="2"/>
  <c r="N351" i="2" s="1"/>
  <c r="I352" i="2"/>
  <c r="N352" i="2" s="1"/>
  <c r="I353" i="2"/>
  <c r="N353" i="2" s="1"/>
  <c r="I354" i="2"/>
  <c r="N354" i="2" s="1"/>
  <c r="I355" i="2"/>
  <c r="N355" i="2" s="1"/>
  <c r="I356" i="2"/>
  <c r="N356" i="2" s="1"/>
  <c r="I357" i="2"/>
  <c r="N357" i="2" s="1"/>
  <c r="I358" i="2"/>
  <c r="N358" i="2" s="1"/>
  <c r="I359" i="2"/>
  <c r="N359" i="2" s="1"/>
  <c r="I360" i="2"/>
  <c r="N360" i="2" s="1"/>
  <c r="I361" i="2"/>
  <c r="N361" i="2" s="1"/>
  <c r="I362" i="2"/>
  <c r="N362" i="2" s="1"/>
  <c r="I363" i="2"/>
  <c r="N363" i="2" s="1"/>
  <c r="I364" i="2"/>
  <c r="N364" i="2" s="1"/>
  <c r="I365" i="2"/>
  <c r="N365" i="2" s="1"/>
  <c r="I366" i="2"/>
  <c r="N366" i="2" s="1"/>
  <c r="I367" i="2"/>
  <c r="N367" i="2" s="1"/>
  <c r="I368" i="2"/>
  <c r="N368" i="2" s="1"/>
  <c r="I369" i="2"/>
  <c r="N369" i="2" s="1"/>
  <c r="I370" i="2"/>
  <c r="N370" i="2" s="1"/>
  <c r="I371" i="2"/>
  <c r="N371" i="2" s="1"/>
  <c r="I372" i="2"/>
  <c r="N372" i="2" s="1"/>
  <c r="I373" i="2"/>
  <c r="N373" i="2" s="1"/>
  <c r="I374" i="2"/>
  <c r="N374" i="2" s="1"/>
  <c r="I375" i="2"/>
  <c r="N375" i="2" s="1"/>
  <c r="I376" i="2"/>
  <c r="N376" i="2" s="1"/>
  <c r="I377" i="2"/>
  <c r="N377" i="2" s="1"/>
  <c r="I378" i="2"/>
  <c r="N378" i="2" s="1"/>
  <c r="I379" i="2"/>
  <c r="N379" i="2" s="1"/>
  <c r="I380" i="2"/>
  <c r="N380" i="2" s="1"/>
  <c r="I381" i="2"/>
  <c r="N381" i="2" s="1"/>
  <c r="I382" i="2"/>
  <c r="N382" i="2" s="1"/>
  <c r="I383" i="2"/>
  <c r="N383" i="2" s="1"/>
  <c r="I384" i="2"/>
  <c r="N384" i="2" s="1"/>
  <c r="I385" i="2"/>
  <c r="N385" i="2" s="1"/>
  <c r="I386" i="2"/>
  <c r="N386" i="2" s="1"/>
  <c r="I387" i="2"/>
  <c r="N387" i="2" s="1"/>
  <c r="I388" i="2"/>
  <c r="N388" i="2" s="1"/>
  <c r="I389" i="2"/>
  <c r="N389" i="2" s="1"/>
  <c r="I390" i="2"/>
  <c r="N390" i="2" s="1"/>
  <c r="I391" i="2"/>
  <c r="N391" i="2" s="1"/>
  <c r="I392" i="2"/>
  <c r="N392" i="2" s="1"/>
  <c r="I393" i="2"/>
  <c r="N393" i="2" s="1"/>
  <c r="I394" i="2"/>
  <c r="N394" i="2" s="1"/>
  <c r="I395" i="2"/>
  <c r="N395" i="2" s="1"/>
  <c r="I396" i="2"/>
  <c r="N396" i="2" s="1"/>
  <c r="I397" i="2"/>
  <c r="N397" i="2" s="1"/>
  <c r="I398" i="2"/>
  <c r="N398" i="2" s="1"/>
  <c r="I399" i="2"/>
  <c r="N399" i="2" s="1"/>
  <c r="I400" i="2"/>
  <c r="N400" i="2" s="1"/>
  <c r="I401" i="2"/>
  <c r="N401" i="2" s="1"/>
  <c r="I402" i="2"/>
  <c r="N402" i="2" s="1"/>
  <c r="I403" i="2"/>
  <c r="N403" i="2" s="1"/>
  <c r="I404" i="2"/>
  <c r="N404" i="2" s="1"/>
  <c r="I405" i="2"/>
  <c r="N405" i="2" s="1"/>
  <c r="I406" i="2"/>
  <c r="N406" i="2" s="1"/>
  <c r="I407" i="2"/>
  <c r="N407" i="2" s="1"/>
  <c r="I408" i="2"/>
  <c r="N408" i="2" s="1"/>
  <c r="I409" i="2"/>
  <c r="N409" i="2" s="1"/>
  <c r="I410" i="2"/>
  <c r="N410" i="2" s="1"/>
  <c r="I411" i="2"/>
  <c r="N411" i="2" s="1"/>
  <c r="I412" i="2"/>
  <c r="N412" i="2" s="1"/>
  <c r="I413" i="2"/>
  <c r="N413" i="2" s="1"/>
  <c r="I414" i="2"/>
  <c r="N414" i="2" s="1"/>
  <c r="I415" i="2"/>
  <c r="N415" i="2" s="1"/>
  <c r="I416" i="2"/>
  <c r="N416" i="2" s="1"/>
  <c r="I417" i="2"/>
  <c r="N417" i="2" s="1"/>
  <c r="I418" i="2"/>
  <c r="N418" i="2" s="1"/>
  <c r="I419" i="2"/>
  <c r="N419" i="2" s="1"/>
  <c r="I420" i="2"/>
  <c r="N420" i="2" s="1"/>
  <c r="I421" i="2"/>
  <c r="N421" i="2" s="1"/>
  <c r="I422" i="2"/>
  <c r="N422" i="2" s="1"/>
  <c r="I423" i="2"/>
  <c r="N423" i="2" s="1"/>
  <c r="I424" i="2"/>
  <c r="N424" i="2" s="1"/>
  <c r="I425" i="2"/>
  <c r="N425" i="2" s="1"/>
  <c r="I426" i="2"/>
  <c r="N426" i="2" s="1"/>
  <c r="I427" i="2"/>
  <c r="N427" i="2" s="1"/>
  <c r="I428" i="2"/>
  <c r="N428" i="2" s="1"/>
  <c r="I429" i="2"/>
  <c r="N429" i="2" s="1"/>
  <c r="I430" i="2"/>
  <c r="N430" i="2" s="1"/>
  <c r="I431" i="2"/>
  <c r="N431" i="2" s="1"/>
  <c r="I432" i="2"/>
  <c r="N432" i="2" s="1"/>
  <c r="I433" i="2"/>
  <c r="N433" i="2" s="1"/>
  <c r="I434" i="2"/>
  <c r="N434" i="2" s="1"/>
  <c r="I435" i="2"/>
  <c r="N435" i="2" s="1"/>
  <c r="I436" i="2"/>
  <c r="N436" i="2" s="1"/>
  <c r="I437" i="2"/>
  <c r="N437" i="2" s="1"/>
  <c r="I438" i="2"/>
  <c r="N438" i="2" s="1"/>
  <c r="I439" i="2"/>
  <c r="N439" i="2" s="1"/>
  <c r="I440" i="2"/>
  <c r="N440" i="2" s="1"/>
  <c r="I441" i="2"/>
  <c r="N441" i="2" s="1"/>
  <c r="I442" i="2"/>
  <c r="N442" i="2" s="1"/>
  <c r="I443" i="2"/>
  <c r="N443" i="2" s="1"/>
  <c r="I444" i="2"/>
  <c r="N444" i="2" s="1"/>
  <c r="I445" i="2"/>
  <c r="N445" i="2" s="1"/>
  <c r="I446" i="2"/>
  <c r="N446" i="2" s="1"/>
  <c r="I447" i="2"/>
  <c r="N447" i="2" s="1"/>
  <c r="I448" i="2"/>
  <c r="N448" i="2" s="1"/>
  <c r="I449" i="2"/>
  <c r="N449" i="2" s="1"/>
  <c r="I450" i="2"/>
  <c r="N450" i="2" s="1"/>
  <c r="I451" i="2"/>
  <c r="N451" i="2" s="1"/>
  <c r="I452" i="2"/>
  <c r="N452" i="2" s="1"/>
  <c r="I453" i="2"/>
  <c r="N453" i="2" s="1"/>
  <c r="I454" i="2"/>
  <c r="N454" i="2" s="1"/>
  <c r="I455" i="2"/>
  <c r="N455" i="2" s="1"/>
  <c r="I456" i="2"/>
  <c r="N456" i="2" s="1"/>
  <c r="I457" i="2"/>
  <c r="N457" i="2" s="1"/>
  <c r="I458" i="2"/>
  <c r="N458" i="2" s="1"/>
  <c r="I459" i="2"/>
  <c r="N459" i="2" s="1"/>
  <c r="I460" i="2"/>
  <c r="N460" i="2" s="1"/>
  <c r="I461" i="2"/>
  <c r="N461" i="2" s="1"/>
  <c r="I462" i="2"/>
  <c r="N462" i="2" s="1"/>
  <c r="I463" i="2"/>
  <c r="N463" i="2" s="1"/>
  <c r="I464" i="2"/>
  <c r="N464" i="2" s="1"/>
  <c r="I465" i="2"/>
  <c r="N465" i="2" s="1"/>
  <c r="I466" i="2"/>
  <c r="N466" i="2" s="1"/>
  <c r="I467" i="2"/>
  <c r="N467" i="2" s="1"/>
  <c r="I468" i="2"/>
  <c r="N468" i="2" s="1"/>
  <c r="I469" i="2"/>
  <c r="N469" i="2" s="1"/>
  <c r="I470" i="2"/>
  <c r="N470" i="2" s="1"/>
  <c r="I471" i="2"/>
  <c r="N471" i="2" s="1"/>
  <c r="I472" i="2"/>
  <c r="N472" i="2" s="1"/>
  <c r="I473" i="2"/>
  <c r="N473" i="2" s="1"/>
  <c r="I474" i="2"/>
  <c r="N474" i="2" s="1"/>
  <c r="I475" i="2"/>
  <c r="N475" i="2" s="1"/>
  <c r="I476" i="2"/>
  <c r="N476" i="2" s="1"/>
  <c r="I477" i="2"/>
  <c r="N477" i="2" s="1"/>
  <c r="I478" i="2"/>
  <c r="N478" i="2" s="1"/>
  <c r="I479" i="2"/>
  <c r="N479" i="2" s="1"/>
  <c r="I480" i="2"/>
  <c r="N480" i="2" s="1"/>
  <c r="I481" i="2"/>
  <c r="N481" i="2" s="1"/>
  <c r="I482" i="2"/>
  <c r="N482" i="2" s="1"/>
  <c r="I483" i="2"/>
  <c r="N483" i="2" s="1"/>
  <c r="I484" i="2"/>
  <c r="N484" i="2" s="1"/>
  <c r="I485" i="2"/>
  <c r="N485" i="2" s="1"/>
  <c r="I486" i="2"/>
  <c r="N486" i="2" s="1"/>
  <c r="I487" i="2"/>
  <c r="N487" i="2" s="1"/>
  <c r="I488" i="2"/>
  <c r="N488" i="2" s="1"/>
  <c r="I489" i="2"/>
  <c r="N489" i="2" s="1"/>
  <c r="I490" i="2"/>
  <c r="N490" i="2" s="1"/>
  <c r="I491" i="2"/>
  <c r="N491" i="2" s="1"/>
  <c r="I492" i="2"/>
  <c r="N492" i="2" s="1"/>
  <c r="I493" i="2"/>
  <c r="N493" i="2" s="1"/>
  <c r="I494" i="2"/>
  <c r="N494" i="2" s="1"/>
  <c r="I495" i="2"/>
  <c r="N495" i="2" s="1"/>
  <c r="I496" i="2"/>
  <c r="N496" i="2" s="1"/>
  <c r="I497" i="2"/>
  <c r="N497" i="2" s="1"/>
  <c r="I498" i="2"/>
  <c r="N498" i="2" s="1"/>
  <c r="I499" i="2"/>
  <c r="N499" i="2" s="1"/>
  <c r="I500" i="2"/>
  <c r="N500" i="2" s="1"/>
  <c r="I501" i="2"/>
  <c r="N501" i="2" s="1"/>
  <c r="I502" i="2"/>
  <c r="N502" i="2" s="1"/>
  <c r="I503" i="2"/>
  <c r="N503" i="2" s="1"/>
  <c r="I504" i="2"/>
  <c r="N504" i="2" s="1"/>
  <c r="I505" i="2"/>
  <c r="N505" i="2" s="1"/>
  <c r="I506" i="2"/>
  <c r="N506" i="2" s="1"/>
  <c r="I507" i="2"/>
  <c r="N507" i="2" s="1"/>
  <c r="I508" i="2"/>
  <c r="N508" i="2" s="1"/>
  <c r="I509" i="2"/>
  <c r="N509" i="2" s="1"/>
  <c r="I510" i="2"/>
  <c r="N510" i="2" s="1"/>
  <c r="I511" i="2"/>
  <c r="N511" i="2" s="1"/>
  <c r="I512" i="2"/>
  <c r="N512" i="2" s="1"/>
  <c r="I513" i="2"/>
  <c r="N513" i="2" s="1"/>
  <c r="I514" i="2"/>
  <c r="N514" i="2" s="1"/>
  <c r="I515" i="2"/>
  <c r="N515" i="2" s="1"/>
  <c r="I516" i="2"/>
  <c r="N516" i="2" s="1"/>
  <c r="I517" i="2"/>
  <c r="N517" i="2" s="1"/>
  <c r="I518" i="2"/>
  <c r="N518" i="2" s="1"/>
  <c r="I519" i="2"/>
  <c r="N519" i="2" s="1"/>
  <c r="I520" i="2"/>
  <c r="N520" i="2" s="1"/>
  <c r="I521" i="2"/>
  <c r="N521" i="2" s="1"/>
  <c r="I522" i="2"/>
  <c r="N522" i="2" s="1"/>
  <c r="I523" i="2"/>
  <c r="N523" i="2" s="1"/>
  <c r="I524" i="2"/>
  <c r="N524" i="2" s="1"/>
  <c r="I525" i="2"/>
  <c r="N525" i="2" s="1"/>
  <c r="I526" i="2"/>
  <c r="N526" i="2" s="1"/>
  <c r="I527" i="2"/>
  <c r="N527" i="2" s="1"/>
  <c r="I528" i="2"/>
  <c r="N528" i="2" s="1"/>
  <c r="I529" i="2"/>
  <c r="N529" i="2" s="1"/>
  <c r="I530" i="2"/>
  <c r="N530" i="2" s="1"/>
  <c r="I531" i="2"/>
  <c r="N531" i="2" s="1"/>
  <c r="I532" i="2"/>
  <c r="N532" i="2" s="1"/>
  <c r="I533" i="2"/>
  <c r="N533" i="2" s="1"/>
  <c r="I534" i="2"/>
  <c r="N534" i="2" s="1"/>
  <c r="I535" i="2"/>
  <c r="N535" i="2" s="1"/>
  <c r="I536" i="2"/>
  <c r="N536" i="2" s="1"/>
  <c r="I537" i="2"/>
  <c r="N537" i="2" s="1"/>
  <c r="I538" i="2"/>
  <c r="N538" i="2" s="1"/>
  <c r="I539" i="2"/>
  <c r="N539" i="2" s="1"/>
  <c r="I540" i="2"/>
  <c r="N540" i="2" s="1"/>
  <c r="I541" i="2"/>
  <c r="N541" i="2" s="1"/>
  <c r="I542" i="2"/>
  <c r="N542" i="2" s="1"/>
  <c r="I543" i="2"/>
  <c r="N543" i="2" s="1"/>
  <c r="I544" i="2"/>
  <c r="N544" i="2" s="1"/>
  <c r="I545" i="2"/>
  <c r="N545" i="2" s="1"/>
  <c r="I546" i="2"/>
  <c r="N546" i="2" s="1"/>
  <c r="I547" i="2"/>
  <c r="N547" i="2" s="1"/>
  <c r="I548" i="2"/>
  <c r="N548" i="2" s="1"/>
  <c r="I549" i="2"/>
  <c r="N549" i="2" s="1"/>
  <c r="I550" i="2"/>
  <c r="N550" i="2" s="1"/>
  <c r="I551" i="2"/>
  <c r="N551" i="2" s="1"/>
  <c r="I552" i="2"/>
  <c r="N552" i="2" s="1"/>
  <c r="I553" i="2"/>
  <c r="N553" i="2" s="1"/>
  <c r="I554" i="2"/>
  <c r="N554" i="2" s="1"/>
  <c r="I555" i="2"/>
  <c r="N555" i="2" s="1"/>
  <c r="I556" i="2"/>
  <c r="N556" i="2" s="1"/>
  <c r="I557" i="2"/>
  <c r="N557" i="2" s="1"/>
  <c r="I558" i="2"/>
  <c r="N558" i="2" s="1"/>
  <c r="I559" i="2"/>
  <c r="N559" i="2" s="1"/>
  <c r="I560" i="2"/>
  <c r="N560" i="2" s="1"/>
  <c r="I561" i="2"/>
  <c r="I562" i="2"/>
  <c r="N562" i="2" s="1"/>
  <c r="I563" i="2"/>
  <c r="N563" i="2" s="1"/>
  <c r="I564" i="2"/>
  <c r="N564" i="2" s="1"/>
  <c r="I565" i="2"/>
  <c r="N565" i="2" s="1"/>
  <c r="I566" i="2"/>
  <c r="N566" i="2" s="1"/>
  <c r="I567" i="2"/>
  <c r="N567" i="2" s="1"/>
  <c r="I568" i="2"/>
  <c r="N568" i="2" s="1"/>
  <c r="I569" i="2"/>
  <c r="N569" i="2" s="1"/>
  <c r="I8" i="2"/>
  <c r="N8" i="2" s="1"/>
  <c r="I5" i="2"/>
  <c r="N5" i="2" s="1"/>
  <c r="I4" i="2"/>
  <c r="N4" i="2" s="1"/>
  <c r="I113" i="1"/>
  <c r="N113" i="1" s="1"/>
  <c r="I114" i="1"/>
  <c r="N114" i="1" s="1"/>
  <c r="I115" i="1"/>
  <c r="N115" i="1" s="1"/>
  <c r="I116" i="1"/>
  <c r="N116" i="1" s="1"/>
  <c r="I117" i="1"/>
  <c r="N117" i="1" s="1"/>
  <c r="I108" i="1"/>
  <c r="N108" i="1" s="1"/>
  <c r="I109" i="1"/>
  <c r="N109" i="1" s="1"/>
  <c r="I110" i="1"/>
  <c r="N110" i="1" s="1"/>
  <c r="I111" i="1"/>
  <c r="N111" i="1" s="1"/>
  <c r="I112" i="1"/>
  <c r="N112" i="1" s="1"/>
  <c r="I103" i="1"/>
  <c r="N103" i="1" s="1"/>
  <c r="I104" i="1"/>
  <c r="N104" i="1" s="1"/>
  <c r="I105" i="1"/>
  <c r="N105" i="1" s="1"/>
  <c r="I106" i="1"/>
  <c r="N106" i="1" s="1"/>
  <c r="I107" i="1"/>
  <c r="N107" i="1" s="1"/>
  <c r="I98" i="1"/>
  <c r="N98" i="1" s="1"/>
  <c r="I99" i="1"/>
  <c r="N99" i="1" s="1"/>
  <c r="I100" i="1"/>
  <c r="N100" i="1" s="1"/>
  <c r="I101" i="1"/>
  <c r="N101" i="1" s="1"/>
  <c r="I102" i="1"/>
  <c r="N102" i="1" s="1"/>
  <c r="I93" i="1"/>
  <c r="N93" i="1" s="1"/>
  <c r="I94" i="1"/>
  <c r="N94" i="1" s="1"/>
  <c r="I95" i="1"/>
  <c r="N95" i="1" s="1"/>
  <c r="I96" i="1"/>
  <c r="N96" i="1" s="1"/>
  <c r="I97" i="1"/>
  <c r="N97" i="1" s="1"/>
  <c r="I88" i="1"/>
  <c r="N88" i="1" s="1"/>
  <c r="I89" i="1"/>
  <c r="N89" i="1" s="1"/>
  <c r="I90" i="1"/>
  <c r="N90" i="1" s="1"/>
  <c r="I91" i="1"/>
  <c r="N91" i="1" s="1"/>
  <c r="I92" i="1"/>
  <c r="N92" i="1" s="1"/>
  <c r="I83" i="1"/>
  <c r="N83" i="1" s="1"/>
  <c r="I84" i="1"/>
  <c r="N84" i="1" s="1"/>
  <c r="I85" i="1"/>
  <c r="N85" i="1" s="1"/>
  <c r="I86" i="1"/>
  <c r="N86" i="1" s="1"/>
  <c r="I87" i="1"/>
  <c r="N87" i="1" s="1"/>
  <c r="I78" i="1"/>
  <c r="N78" i="1" s="1"/>
  <c r="I79" i="1"/>
  <c r="N79" i="1" s="1"/>
  <c r="I80" i="1"/>
  <c r="N80" i="1" s="1"/>
  <c r="I81" i="1"/>
  <c r="N81" i="1" s="1"/>
  <c r="I82" i="1"/>
  <c r="N82" i="1" s="1"/>
  <c r="B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I73" i="1"/>
  <c r="N73" i="1" s="1"/>
  <c r="I74" i="1"/>
  <c r="N74" i="1" s="1"/>
  <c r="I75" i="1"/>
  <c r="N75" i="1" s="1"/>
  <c r="I76" i="1"/>
  <c r="N76" i="1" s="1"/>
  <c r="I77" i="1"/>
  <c r="N77" i="1" s="1"/>
  <c r="I68" i="1"/>
  <c r="N68" i="1" s="1"/>
  <c r="I69" i="1"/>
  <c r="N69" i="1" s="1"/>
  <c r="I70" i="1"/>
  <c r="N70" i="1" s="1"/>
  <c r="I71" i="1"/>
  <c r="N71" i="1" s="1"/>
  <c r="I72" i="1"/>
  <c r="N72" i="1" s="1"/>
  <c r="I63" i="1"/>
  <c r="N63" i="1" s="1"/>
  <c r="I64" i="1"/>
  <c r="N64" i="1" s="1"/>
  <c r="I65" i="1"/>
  <c r="N65" i="1" s="1"/>
  <c r="I66" i="1"/>
  <c r="N66" i="1" s="1"/>
  <c r="I67" i="1"/>
  <c r="N67" i="1" s="1"/>
  <c r="I58" i="1"/>
  <c r="N58" i="1" s="1"/>
  <c r="I59" i="1"/>
  <c r="N59" i="1" s="1"/>
  <c r="I60" i="1"/>
  <c r="N60" i="1" s="1"/>
  <c r="I61" i="1"/>
  <c r="N61" i="1" s="1"/>
  <c r="I62" i="1"/>
  <c r="N62" i="1" s="1"/>
  <c r="I53" i="1"/>
  <c r="N53" i="1" s="1"/>
  <c r="I54" i="1"/>
  <c r="N54" i="1" s="1"/>
  <c r="I55" i="1"/>
  <c r="N55" i="1" s="1"/>
  <c r="I56" i="1"/>
  <c r="N56" i="1" s="1"/>
  <c r="I57" i="1"/>
  <c r="N57" i="1" s="1"/>
  <c r="I48" i="1"/>
  <c r="N48" i="1" s="1"/>
  <c r="I49" i="1"/>
  <c r="N49" i="1" s="1"/>
  <c r="I50" i="1"/>
  <c r="N50" i="1" s="1"/>
  <c r="I51" i="1"/>
  <c r="N51" i="1" s="1"/>
  <c r="I52" i="1"/>
  <c r="N52" i="1" s="1"/>
  <c r="I43" i="1"/>
  <c r="N43" i="1" s="1"/>
  <c r="I44" i="1"/>
  <c r="N44" i="1" s="1"/>
  <c r="I45" i="1"/>
  <c r="N45" i="1" s="1"/>
  <c r="I46" i="1"/>
  <c r="N46" i="1" s="1"/>
  <c r="I47" i="1"/>
  <c r="N47" i="1" s="1"/>
  <c r="I38" i="1"/>
  <c r="N38" i="1" s="1"/>
  <c r="I39" i="1"/>
  <c r="N39" i="1" s="1"/>
  <c r="I40" i="1"/>
  <c r="N40" i="1" s="1"/>
  <c r="I41" i="1"/>
  <c r="N41" i="1" s="1"/>
  <c r="I42" i="1"/>
  <c r="N42" i="1" s="1"/>
  <c r="I33" i="1"/>
  <c r="N33" i="1" s="1"/>
  <c r="I34" i="1"/>
  <c r="N34" i="1" s="1"/>
  <c r="I35" i="1"/>
  <c r="N35" i="1" s="1"/>
  <c r="I36" i="1"/>
  <c r="N36" i="1" s="1"/>
  <c r="I37" i="1"/>
  <c r="N37" i="1" s="1"/>
  <c r="I28" i="1"/>
  <c r="I29" i="1"/>
  <c r="I30" i="1"/>
  <c r="I31" i="1"/>
  <c r="I32" i="1"/>
  <c r="N32" i="1" s="1"/>
  <c r="I23" i="1"/>
  <c r="I24" i="1"/>
  <c r="I25" i="1"/>
  <c r="I26" i="1"/>
  <c r="I27" i="1"/>
  <c r="I18" i="1"/>
  <c r="I19" i="1"/>
  <c r="I20" i="1"/>
  <c r="I21" i="1"/>
  <c r="I22" i="1"/>
  <c r="I13" i="1"/>
  <c r="I14" i="1"/>
  <c r="I15" i="1"/>
  <c r="I16" i="1"/>
  <c r="I17" i="1"/>
  <c r="I6" i="2"/>
  <c r="N6" i="2" s="1"/>
  <c r="I7" i="2"/>
  <c r="N7" i="2" s="1"/>
  <c r="I9" i="2"/>
  <c r="N9" i="2" s="1"/>
  <c r="I8" i="1"/>
  <c r="I9" i="1"/>
  <c r="I10" i="1"/>
  <c r="I11" i="1"/>
  <c r="I12" i="1"/>
  <c r="I6" i="1"/>
  <c r="I7" i="1"/>
  <c r="L103" i="6" l="1"/>
  <c r="K104" i="6"/>
  <c r="L6" i="6"/>
  <c r="I3" i="1"/>
  <c r="I4" i="1"/>
  <c r="I5" i="1"/>
  <c r="L104" i="6" l="1"/>
  <c r="K105" i="6"/>
  <c r="L7" i="6"/>
  <c r="L105" i="6" l="1"/>
  <c r="K106" i="6"/>
  <c r="L8" i="6"/>
  <c r="K107" i="6" l="1"/>
  <c r="L106" i="6"/>
  <c r="L9" i="6"/>
  <c r="L107" i="6" l="1"/>
  <c r="L10" i="6"/>
  <c r="L12" i="6" l="1"/>
  <c r="L11" i="6"/>
</calcChain>
</file>

<file path=xl/sharedStrings.xml><?xml version="1.0" encoding="utf-8"?>
<sst xmlns="http://schemas.openxmlformats.org/spreadsheetml/2006/main" count="4683" uniqueCount="51">
  <si>
    <t xml:space="preserve">Va cambiando </t>
  </si>
  <si>
    <t>Año</t>
  </si>
  <si>
    <t>Mes</t>
  </si>
  <si>
    <t>Dia</t>
  </si>
  <si>
    <t>Turno</t>
  </si>
  <si>
    <t xml:space="preserve">Proceso </t>
  </si>
  <si>
    <t>Indice</t>
  </si>
  <si>
    <t>KWH</t>
  </si>
  <si>
    <t>KWH por proceso</t>
  </si>
  <si>
    <t>Produccion (Equivalente)</t>
  </si>
  <si>
    <t>KWH/Equ (Reales)</t>
  </si>
  <si>
    <t>KWH/Equ (Presupuesto)</t>
  </si>
  <si>
    <t>Costo por KWH</t>
  </si>
  <si>
    <t>Costo  total KWH</t>
  </si>
  <si>
    <t>Oct</t>
  </si>
  <si>
    <t>N/A</t>
  </si>
  <si>
    <t>Linea 1</t>
  </si>
  <si>
    <t>Linea 2</t>
  </si>
  <si>
    <t>Linea 3</t>
  </si>
  <si>
    <t>Linea 4</t>
  </si>
  <si>
    <t>Ensamble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</si>
  <si>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</si>
  <si>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</si>
  <si>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</si>
  <si>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</si>
  <si>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</si>
  <si>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</si>
  <si>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</si>
  <si>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</si>
  <si>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</si>
  <si>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</si>
  <si>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</si>
  <si>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Rejillas</t>
  </si>
  <si>
    <t>Cinta</t>
  </si>
  <si>
    <t>Planta Oxido</t>
  </si>
  <si>
    <t>Empaste Casting</t>
  </si>
  <si>
    <t>Empaste Expanded</t>
  </si>
  <si>
    <t>Empaste Cominco</t>
  </si>
  <si>
    <t>OREC</t>
  </si>
  <si>
    <t>Extraccion desde el SCADA</t>
  </si>
  <si>
    <t>Este dato se toma desde el SCADA</t>
  </si>
  <si>
    <t>Participacion</t>
  </si>
  <si>
    <t>FORMACION</t>
  </si>
  <si>
    <t>LINEA ACABADO PRINCIPAL</t>
  </si>
  <si>
    <t>F&amp;A</t>
  </si>
  <si>
    <t>RC</t>
  </si>
  <si>
    <t xml:space="preserve">(m3) </t>
  </si>
  <si>
    <t>m3 /Equ (Reales)</t>
  </si>
  <si>
    <t>m3 /Equ (presupuesto)</t>
  </si>
  <si>
    <t xml:space="preserve">Costo m3 </t>
  </si>
  <si>
    <t xml:space="preserve">Total Costo m3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</si>
</sst>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0.0000"/>
    <numFmt numFmtId="166" formatCode="0.00000"/>
    <numFmt numFmtId="167" formatCode="_-* #,##0_-;\-* #,##0_-;_-* &quot;-&quot;??_-;_-@_-"/>
    <numFmt numFmtId="168" formatCode="0.0"/>
    <numFmt numFmtId="169" formatCode="[$$-240A]\ #,##0"/>
    <numFmt numFmtId="170" formatCode="&quot;$&quot;\ #,##0.00"/>
    <numFmt numFmtId="171" formatCode="0.000"/>
    <numFmt numFmtId="172" formatCode="_-* #,##0.00\ _€_-;\-* #,##0.00\ _€_-;_-* &quot;-&quot;??\ _€_-;_-@_-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</font>
    <font>
      <b/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1" applyFon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2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0" xfId="0" applyNumberFormat="1"/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3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9" fontId="0" fillId="0" borderId="0" xfId="2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7" fontId="0" fillId="0" borderId="0" xfId="1" applyNumberFormat="1" applyFont="1"/>
    <xf numFmtId="167" fontId="2" fillId="2" borderId="0" xfId="1" applyNumberFormat="1" applyFont="1" applyFill="1" applyAlignment="1">
      <alignment horizontal="center"/>
    </xf>
    <xf numFmtId="167" fontId="0" fillId="0" borderId="0" xfId="1" applyNumberFormat="1" applyFont="1" applyAlignment="1">
      <alignment horizontal="left" vertical="center"/>
    </xf>
    <xf numFmtId="167" fontId="0" fillId="0" borderId="0" xfId="1" applyNumberFormat="1" applyFont="1" applyAlignment="1">
      <alignment horizontal="left"/>
    </xf>
    <xf numFmtId="167" fontId="4" fillId="0" borderId="0" xfId="1" applyNumberFormat="1" applyFont="1" applyAlignment="1">
      <alignment horizontal="left"/>
    </xf>
    <xf numFmtId="167" fontId="5" fillId="0" borderId="0" xfId="1" applyNumberFormat="1" applyFont="1" applyAlignment="1">
      <alignment horizontal="left"/>
    </xf>
    <xf numFmtId="167" fontId="6" fillId="0" borderId="0" xfId="1" applyNumberFormat="1" applyFont="1" applyAlignment="1">
      <alignment horizontal="left"/>
    </xf>
    <xf numFmtId="167" fontId="0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0" fontId="2" fillId="2" borderId="0" xfId="0" applyFont="1" applyFill="1"/>
    <xf numFmtId="3" fontId="0" fillId="0" borderId="0" xfId="0" applyNumberFormat="1" applyAlignment="1">
      <alignment vertical="center"/>
    </xf>
    <xf numFmtId="3" fontId="0" fillId="0" borderId="0" xfId="0" applyNumberFormat="1"/>
    <xf numFmtId="0" fontId="0" fillId="0" borderId="0" xfId="0" applyAlignment="1">
      <alignment vertical="center"/>
    </xf>
    <xf numFmtId="3" fontId="8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7" fontId="2" fillId="2" borderId="0" xfId="1" applyNumberFormat="1" applyFont="1" applyFill="1" applyAlignment="1">
      <alignment horizontal="center" vertical="center"/>
    </xf>
    <xf numFmtId="168" fontId="0" fillId="0" borderId="0" xfId="0" applyNumberFormat="1"/>
    <xf numFmtId="168" fontId="2" fillId="2" borderId="0" xfId="0" applyNumberFormat="1" applyFont="1" applyFill="1" applyAlignment="1">
      <alignment horizontal="center" vertical="center"/>
    </xf>
    <xf numFmtId="168" fontId="5" fillId="0" borderId="0" xfId="0" applyNumberFormat="1" applyFont="1"/>
    <xf numFmtId="3" fontId="4" fillId="0" borderId="0" xfId="0" applyNumberFormat="1" applyFont="1"/>
    <xf numFmtId="169" fontId="0" fillId="0" borderId="0" xfId="0" applyNumberFormat="1" applyAlignment="1">
      <alignment horizontal="center"/>
    </xf>
    <xf numFmtId="169" fontId="7" fillId="0" borderId="0" xfId="0" applyNumberFormat="1" applyFont="1" applyAlignment="1">
      <alignment horizontal="center"/>
    </xf>
    <xf numFmtId="170" fontId="10" fillId="3" borderId="0" xfId="0" applyNumberFormat="1" applyFont="1" applyFill="1"/>
    <xf numFmtId="168" fontId="0" fillId="0" borderId="0" xfId="0" applyNumberForma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167" fontId="0" fillId="0" borderId="0" xfId="1" applyNumberFormat="1" applyFont="1" applyAlignment="1">
      <alignment horizontal="center" vertical="center"/>
    </xf>
    <xf numFmtId="172" fontId="0" fillId="0" borderId="0" xfId="0" applyNumberFormat="1"/>
    <xf numFmtId="2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torrm1\AppData\Local\Microsoft\Windows\INetCache\Content.Outlook\U8OWAFNX\Utilities%20FY26.xlsx" TargetMode="External"/><Relationship Id="rId1" Type="http://schemas.openxmlformats.org/officeDocument/2006/relationships/externalLinkPath" Target="file:///C:\Users\ptorrm1\AppData\Local\Microsoft\Windows\INetCache\Content.Outlook\U8OWAFNX\Utilities%20F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upuesto_Base"/>
      <sheetName val="EE 2024-2025"/>
      <sheetName val="ENERGIA"/>
      <sheetName val="GAS"/>
      <sheetName val="AGUA"/>
      <sheetName val="HIST ENER"/>
      <sheetName val="HIST GAS"/>
      <sheetName val="Hoja1"/>
      <sheetName val="INFLACION"/>
      <sheetName val="Tabla2"/>
      <sheetName val="Tabla2 (2)"/>
      <sheetName val="RSM"/>
      <sheetName val="ENERGIA (2)"/>
      <sheetName val="GAS (2)"/>
      <sheetName val="Ajte Indice RC Gas"/>
      <sheetName val="Ahorro PL25"/>
      <sheetName val="Ahorros"/>
    </sheetNames>
    <sheetDataSet>
      <sheetData sheetId="0"/>
      <sheetData sheetId="1"/>
      <sheetData sheetId="2">
        <row r="1">
          <cell r="A1">
            <v>1.07</v>
          </cell>
        </row>
      </sheetData>
      <sheetData sheetId="3"/>
      <sheetData sheetId="4"/>
      <sheetData sheetId="5"/>
      <sheetData sheetId="6">
        <row r="84">
          <cell r="P84">
            <v>1726.3276479412125</v>
          </cell>
          <cell r="Q84">
            <v>1623.3839290532455</v>
          </cell>
          <cell r="R84">
            <v>1695.4002409469001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CLARIOS NUEVO">
      <a:dk1>
        <a:srgbClr val="000000"/>
      </a:dk1>
      <a:lt1>
        <a:srgbClr val="310B55"/>
      </a:lt1>
      <a:dk2>
        <a:srgbClr val="202496"/>
      </a:dk2>
      <a:lt2>
        <a:srgbClr val="007F9A"/>
      </a:lt2>
      <a:accent1>
        <a:srgbClr val="0099C6"/>
      </a:accent1>
      <a:accent2>
        <a:srgbClr val="00C2EC"/>
      </a:accent2>
      <a:accent3>
        <a:srgbClr val="393D3D"/>
      </a:accent3>
      <a:accent4>
        <a:srgbClr val="A8A8A8"/>
      </a:accent4>
      <a:accent5>
        <a:srgbClr val="EAE8E8"/>
      </a:accent5>
      <a:accent6>
        <a:srgbClr val="FEF7F7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3174-F8A4-4025-A64D-3085DABE3514}">
  <dimension ref="B1:N422"/>
  <sheetViews>
    <sheetView showGridLines="0" zoomScale="90" zoomScaleNormal="100" workbookViewId="0">
      <pane ySplit="2" topLeftCell="A379" activePane="bottomLeft" state="frozen"/>
      <selection pane="bottomLeft" activeCell="N413" sqref="N413"/>
    </sheetView>
  </sheetViews>
  <sheetFormatPr defaultColWidth="11.42578125" defaultRowHeight="14.45"/>
  <cols>
    <col min="2" max="2" width="12.5703125" customWidth="1"/>
    <col min="3" max="5" width="12.140625" customWidth="1"/>
    <col min="8" max="8" width="11.42578125" style="26"/>
    <col min="9" max="9" width="15.5703125" style="33" bestFit="1" customWidth="1"/>
    <col min="10" max="10" width="23" style="26" customWidth="1"/>
    <col min="11" max="11" width="15.5703125" bestFit="1" customWidth="1"/>
    <col min="12" max="12" width="10.5703125" customWidth="1"/>
    <col min="13" max="13" width="23" style="49" customWidth="1"/>
    <col min="14" max="14" width="16.42578125" customWidth="1"/>
  </cols>
  <sheetData>
    <row r="1" spans="2:14">
      <c r="D1" s="60"/>
      <c r="E1" s="60"/>
      <c r="M1" s="50" t="s">
        <v>0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7" t="s">
        <v>7</v>
      </c>
      <c r="I2" s="27" t="s">
        <v>8</v>
      </c>
      <c r="J2" s="27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 s="16" customFormat="1" ht="15.75" customHeight="1">
      <c r="B3" s="7">
        <v>2019</v>
      </c>
      <c r="C3" s="7" t="s">
        <v>14</v>
      </c>
      <c r="D3" s="2" t="s">
        <v>15</v>
      </c>
      <c r="E3" s="2" t="s">
        <v>15</v>
      </c>
      <c r="F3" s="7" t="s">
        <v>16</v>
      </c>
      <c r="G3" s="52">
        <v>0.33999999999999997</v>
      </c>
      <c r="H3" s="28">
        <v>309181</v>
      </c>
      <c r="I3" s="55">
        <f>G3*H3</f>
        <v>105121.54</v>
      </c>
      <c r="J3" s="28"/>
      <c r="K3" s="54">
        <f>IFERROR(I3/J3,0)</f>
        <v>0</v>
      </c>
      <c r="L3" s="15"/>
      <c r="M3" s="49"/>
    </row>
    <row r="4" spans="2:14" s="16" customFormat="1" ht="15.75" customHeight="1">
      <c r="B4" s="7">
        <v>2019</v>
      </c>
      <c r="C4" s="7" t="s">
        <v>14</v>
      </c>
      <c r="D4" s="2" t="s">
        <v>15</v>
      </c>
      <c r="E4" s="2" t="s">
        <v>15</v>
      </c>
      <c r="F4" s="7" t="s">
        <v>17</v>
      </c>
      <c r="G4" s="52">
        <v>0.19000031061799064</v>
      </c>
      <c r="H4" s="28">
        <v>309181</v>
      </c>
      <c r="I4" s="55">
        <f t="shared" ref="I4:I68" si="0">G4*H4</f>
        <v>58744.486037180963</v>
      </c>
      <c r="J4" s="28"/>
      <c r="K4" s="54">
        <f t="shared" ref="K4:K67" si="1">IFERROR(I4/J4,0)</f>
        <v>0</v>
      </c>
      <c r="L4" s="15"/>
      <c r="M4" s="49"/>
    </row>
    <row r="5" spans="2:14" s="16" customFormat="1" ht="15.75" customHeight="1">
      <c r="B5" s="7">
        <v>2019</v>
      </c>
      <c r="C5" s="7" t="s">
        <v>14</v>
      </c>
      <c r="D5" s="2" t="s">
        <v>15</v>
      </c>
      <c r="E5" s="2" t="s">
        <v>15</v>
      </c>
      <c r="F5" s="7" t="s">
        <v>18</v>
      </c>
      <c r="G5" s="52">
        <v>0.19999999999999998</v>
      </c>
      <c r="H5" s="28">
        <v>309181</v>
      </c>
      <c r="I5" s="55">
        <f t="shared" si="0"/>
        <v>61836.2</v>
      </c>
      <c r="J5" s="28"/>
      <c r="K5" s="54">
        <f t="shared" si="1"/>
        <v>0</v>
      </c>
      <c r="L5" s="15"/>
      <c r="M5" s="49"/>
    </row>
    <row r="6" spans="2:14" s="16" customFormat="1" ht="15.75" customHeight="1">
      <c r="B6" s="7">
        <v>2019</v>
      </c>
      <c r="C6" s="7" t="s">
        <v>14</v>
      </c>
      <c r="D6" s="2" t="s">
        <v>15</v>
      </c>
      <c r="E6" s="2" t="s">
        <v>15</v>
      </c>
      <c r="F6" s="7" t="s">
        <v>19</v>
      </c>
      <c r="G6" s="52">
        <v>0.26999999999999996</v>
      </c>
      <c r="H6" s="28">
        <v>309181</v>
      </c>
      <c r="I6" s="55">
        <f>G6*H6</f>
        <v>83478.87</v>
      </c>
      <c r="J6" s="28"/>
      <c r="K6" s="54">
        <f t="shared" si="1"/>
        <v>0</v>
      </c>
      <c r="L6" s="15"/>
      <c r="M6" s="49"/>
    </row>
    <row r="7" spans="2:14" s="16" customFormat="1" ht="15.75" customHeight="1">
      <c r="B7" s="7">
        <v>2019</v>
      </c>
      <c r="C7" s="7" t="s">
        <v>14</v>
      </c>
      <c r="D7" s="2" t="s">
        <v>15</v>
      </c>
      <c r="E7" s="2" t="s">
        <v>15</v>
      </c>
      <c r="F7" s="22" t="s">
        <v>20</v>
      </c>
      <c r="G7" s="53">
        <v>1</v>
      </c>
      <c r="H7" s="28">
        <v>309181</v>
      </c>
      <c r="I7" s="55">
        <f t="shared" si="0"/>
        <v>309181</v>
      </c>
      <c r="J7" s="28">
        <v>124270</v>
      </c>
      <c r="K7" s="54">
        <f t="shared" si="1"/>
        <v>2.4879777902953246</v>
      </c>
      <c r="L7" s="15"/>
      <c r="M7" s="49"/>
    </row>
    <row r="8" spans="2:14" s="16" customFormat="1" ht="15.75" customHeight="1">
      <c r="B8" s="7">
        <v>2019</v>
      </c>
      <c r="C8" s="7" t="s">
        <v>21</v>
      </c>
      <c r="D8" s="2" t="s">
        <v>15</v>
      </c>
      <c r="E8" s="2" t="s">
        <v>15</v>
      </c>
      <c r="F8" s="7" t="s">
        <v>16</v>
      </c>
      <c r="G8" s="52">
        <v>0.33999999999999997</v>
      </c>
      <c r="H8" s="28">
        <v>290330</v>
      </c>
      <c r="I8" s="55">
        <f t="shared" si="0"/>
        <v>98712.2</v>
      </c>
      <c r="J8" s="28"/>
      <c r="K8" s="54">
        <f t="shared" si="1"/>
        <v>0</v>
      </c>
      <c r="L8" s="15"/>
      <c r="M8" s="49"/>
    </row>
    <row r="9" spans="2:14" s="16" customFormat="1" ht="15.75" customHeight="1">
      <c r="B9" s="7">
        <v>2019</v>
      </c>
      <c r="C9" s="7" t="s">
        <v>21</v>
      </c>
      <c r="D9" s="2" t="s">
        <v>15</v>
      </c>
      <c r="E9" s="2" t="s">
        <v>15</v>
      </c>
      <c r="F9" s="7" t="s">
        <v>17</v>
      </c>
      <c r="G9" s="52">
        <v>0.19000031061799064</v>
      </c>
      <c r="H9" s="28">
        <v>290330</v>
      </c>
      <c r="I9" s="55">
        <f t="shared" si="0"/>
        <v>55162.790181721219</v>
      </c>
      <c r="J9" s="28"/>
      <c r="K9" s="54">
        <f t="shared" si="1"/>
        <v>0</v>
      </c>
      <c r="L9" s="15"/>
      <c r="M9" s="49"/>
    </row>
    <row r="10" spans="2:14" s="16" customFormat="1" ht="15.75" customHeight="1">
      <c r="B10" s="7">
        <v>2019</v>
      </c>
      <c r="C10" s="7" t="s">
        <v>21</v>
      </c>
      <c r="D10" s="2" t="s">
        <v>15</v>
      </c>
      <c r="E10" s="2" t="s">
        <v>15</v>
      </c>
      <c r="F10" s="7" t="s">
        <v>18</v>
      </c>
      <c r="G10" s="52">
        <v>0.19999999999999998</v>
      </c>
      <c r="H10" s="28">
        <v>290330</v>
      </c>
      <c r="I10" s="55">
        <f t="shared" si="0"/>
        <v>58065.999999999993</v>
      </c>
      <c r="J10" s="28"/>
      <c r="K10" s="54">
        <f t="shared" si="1"/>
        <v>0</v>
      </c>
      <c r="L10" s="15"/>
      <c r="M10" s="49"/>
    </row>
    <row r="11" spans="2:14" s="16" customFormat="1" ht="15.75" customHeight="1">
      <c r="B11" s="7">
        <v>2019</v>
      </c>
      <c r="C11" s="7" t="s">
        <v>21</v>
      </c>
      <c r="D11" s="2" t="s">
        <v>15</v>
      </c>
      <c r="E11" s="2" t="s">
        <v>15</v>
      </c>
      <c r="F11" s="7" t="s">
        <v>19</v>
      </c>
      <c r="G11" s="52">
        <v>0.26999999999999996</v>
      </c>
      <c r="H11" s="28">
        <v>290330</v>
      </c>
      <c r="I11" s="55">
        <f t="shared" si="0"/>
        <v>78389.099999999991</v>
      </c>
      <c r="J11" s="28"/>
      <c r="K11" s="54">
        <f t="shared" si="1"/>
        <v>0</v>
      </c>
      <c r="L11" s="15"/>
      <c r="M11" s="49"/>
    </row>
    <row r="12" spans="2:14" s="16" customFormat="1" ht="15.75" customHeight="1">
      <c r="B12" s="7">
        <v>2019</v>
      </c>
      <c r="C12" s="7" t="s">
        <v>21</v>
      </c>
      <c r="D12" s="2" t="s">
        <v>15</v>
      </c>
      <c r="E12" s="2" t="s">
        <v>15</v>
      </c>
      <c r="F12" s="22" t="s">
        <v>20</v>
      </c>
      <c r="G12" s="53">
        <v>1</v>
      </c>
      <c r="H12" s="28">
        <v>290330</v>
      </c>
      <c r="I12" s="55">
        <f t="shared" si="0"/>
        <v>290330</v>
      </c>
      <c r="J12" s="28">
        <v>113586</v>
      </c>
      <c r="K12" s="54">
        <f t="shared" si="1"/>
        <v>2.556036835525505</v>
      </c>
      <c r="L12" s="15"/>
      <c r="M12" s="49"/>
    </row>
    <row r="13" spans="2:14" s="16" customFormat="1" ht="15.75" customHeight="1">
      <c r="B13" s="7">
        <v>2020</v>
      </c>
      <c r="C13" s="7" t="s">
        <v>22</v>
      </c>
      <c r="D13" s="2" t="s">
        <v>15</v>
      </c>
      <c r="E13" s="2" t="s">
        <v>15</v>
      </c>
      <c r="F13" s="7" t="s">
        <v>16</v>
      </c>
      <c r="G13" s="52">
        <v>0.33999999999999997</v>
      </c>
      <c r="H13" s="29">
        <v>324206</v>
      </c>
      <c r="I13" s="55">
        <f t="shared" si="0"/>
        <v>110230.04</v>
      </c>
      <c r="J13" s="29"/>
      <c r="K13" s="54">
        <f t="shared" si="1"/>
        <v>0</v>
      </c>
      <c r="L13" s="15"/>
      <c r="M13" s="49"/>
    </row>
    <row r="14" spans="2:14" s="16" customFormat="1" ht="15.75" customHeight="1">
      <c r="B14" s="7">
        <v>2020</v>
      </c>
      <c r="C14" s="7" t="s">
        <v>22</v>
      </c>
      <c r="D14" s="2" t="s">
        <v>15</v>
      </c>
      <c r="E14" s="2" t="s">
        <v>15</v>
      </c>
      <c r="F14" s="7" t="s">
        <v>17</v>
      </c>
      <c r="G14" s="52">
        <v>0.19000031061799064</v>
      </c>
      <c r="H14" s="29">
        <v>324206</v>
      </c>
      <c r="I14" s="55">
        <f t="shared" si="0"/>
        <v>61599.240704216274</v>
      </c>
      <c r="J14" s="29"/>
      <c r="K14" s="54">
        <f t="shared" si="1"/>
        <v>0</v>
      </c>
      <c r="L14" s="15"/>
      <c r="M14" s="49"/>
    </row>
    <row r="15" spans="2:14" s="16" customFormat="1" ht="15.75" customHeight="1">
      <c r="B15" s="7">
        <v>2020</v>
      </c>
      <c r="C15" s="7" t="s">
        <v>22</v>
      </c>
      <c r="D15" s="2" t="s">
        <v>15</v>
      </c>
      <c r="E15" s="2" t="s">
        <v>15</v>
      </c>
      <c r="F15" s="7" t="s">
        <v>18</v>
      </c>
      <c r="G15" s="52">
        <v>0.19999999999999998</v>
      </c>
      <c r="H15" s="29">
        <v>324206</v>
      </c>
      <c r="I15" s="55">
        <f t="shared" si="0"/>
        <v>64841.2</v>
      </c>
      <c r="J15" s="29"/>
      <c r="K15" s="54">
        <f t="shared" si="1"/>
        <v>0</v>
      </c>
      <c r="L15" s="15"/>
      <c r="M15" s="49"/>
    </row>
    <row r="16" spans="2:14" s="16" customFormat="1" ht="15.75" customHeight="1">
      <c r="B16" s="7">
        <v>2020</v>
      </c>
      <c r="C16" s="7" t="s">
        <v>22</v>
      </c>
      <c r="D16" s="2" t="s">
        <v>15</v>
      </c>
      <c r="E16" s="2" t="s">
        <v>15</v>
      </c>
      <c r="F16" s="7" t="s">
        <v>19</v>
      </c>
      <c r="G16" s="52">
        <v>0.26999999999999996</v>
      </c>
      <c r="H16" s="29">
        <v>324206</v>
      </c>
      <c r="I16" s="55">
        <f t="shared" si="0"/>
        <v>87535.619999999981</v>
      </c>
      <c r="J16" s="29"/>
      <c r="K16" s="54">
        <f t="shared" si="1"/>
        <v>0</v>
      </c>
      <c r="L16" s="15"/>
      <c r="M16" s="49"/>
    </row>
    <row r="17" spans="2:14" s="16" customFormat="1" ht="15.75" customHeight="1">
      <c r="B17" s="7">
        <v>2020</v>
      </c>
      <c r="C17" s="7" t="s">
        <v>22</v>
      </c>
      <c r="D17" s="2" t="s">
        <v>15</v>
      </c>
      <c r="E17" s="2" t="s">
        <v>15</v>
      </c>
      <c r="F17" s="22" t="s">
        <v>20</v>
      </c>
      <c r="G17" s="53">
        <v>1</v>
      </c>
      <c r="H17" s="29">
        <v>324206</v>
      </c>
      <c r="I17" s="55">
        <f t="shared" si="0"/>
        <v>324206</v>
      </c>
      <c r="J17" s="29">
        <v>124397</v>
      </c>
      <c r="K17" s="54">
        <f t="shared" si="1"/>
        <v>2.6062204072445478</v>
      </c>
      <c r="L17" s="15"/>
      <c r="M17" s="49"/>
    </row>
    <row r="18" spans="2:14" s="16" customFormat="1" ht="15.75" customHeight="1">
      <c r="B18" s="7">
        <v>2020</v>
      </c>
      <c r="C18" s="7" t="s">
        <v>23</v>
      </c>
      <c r="D18" s="2" t="s">
        <v>15</v>
      </c>
      <c r="E18" s="2" t="s">
        <v>15</v>
      </c>
      <c r="F18" s="7" t="s">
        <v>16</v>
      </c>
      <c r="G18" s="52">
        <v>0.33999999999999997</v>
      </c>
      <c r="H18" s="29">
        <v>309006</v>
      </c>
      <c r="I18" s="55">
        <f t="shared" si="0"/>
        <v>105062.04</v>
      </c>
      <c r="J18" s="29"/>
      <c r="K18" s="54">
        <f t="shared" si="1"/>
        <v>0</v>
      </c>
      <c r="L18" s="15"/>
      <c r="M18" s="49"/>
    </row>
    <row r="19" spans="2:14" s="16" customFormat="1" ht="15.75" customHeight="1">
      <c r="B19" s="7">
        <v>2020</v>
      </c>
      <c r="C19" s="7" t="s">
        <v>23</v>
      </c>
      <c r="D19" s="2" t="s">
        <v>15</v>
      </c>
      <c r="E19" s="2" t="s">
        <v>15</v>
      </c>
      <c r="F19" s="7" t="s">
        <v>17</v>
      </c>
      <c r="G19" s="52">
        <v>0.19000031061799064</v>
      </c>
      <c r="H19" s="29">
        <v>309006</v>
      </c>
      <c r="I19" s="55">
        <f t="shared" si="0"/>
        <v>58711.235982822815</v>
      </c>
      <c r="J19" s="29"/>
      <c r="K19" s="54">
        <f t="shared" si="1"/>
        <v>0</v>
      </c>
      <c r="L19" s="15"/>
      <c r="M19" s="49"/>
    </row>
    <row r="20" spans="2:14" s="16" customFormat="1" ht="15.75" customHeight="1">
      <c r="B20" s="7">
        <v>2020</v>
      </c>
      <c r="C20" s="7" t="s">
        <v>23</v>
      </c>
      <c r="D20" s="2" t="s">
        <v>15</v>
      </c>
      <c r="E20" s="2" t="s">
        <v>15</v>
      </c>
      <c r="F20" s="7" t="s">
        <v>18</v>
      </c>
      <c r="G20" s="52">
        <v>0.19999999999999998</v>
      </c>
      <c r="H20" s="29">
        <v>309006</v>
      </c>
      <c r="I20" s="55">
        <f t="shared" si="0"/>
        <v>61801.2</v>
      </c>
      <c r="J20" s="29"/>
      <c r="K20" s="54">
        <f t="shared" si="1"/>
        <v>0</v>
      </c>
      <c r="L20" s="15"/>
      <c r="M20" s="49"/>
    </row>
    <row r="21" spans="2:14" s="16" customFormat="1" ht="15.75" customHeight="1">
      <c r="B21" s="7">
        <v>2020</v>
      </c>
      <c r="C21" s="7" t="s">
        <v>23</v>
      </c>
      <c r="D21" s="2" t="s">
        <v>15</v>
      </c>
      <c r="E21" s="2" t="s">
        <v>15</v>
      </c>
      <c r="F21" s="7" t="s">
        <v>19</v>
      </c>
      <c r="G21" s="52">
        <v>0.26999999999999996</v>
      </c>
      <c r="H21" s="29">
        <v>309006</v>
      </c>
      <c r="I21" s="55">
        <f t="shared" si="0"/>
        <v>83431.62</v>
      </c>
      <c r="J21" s="29"/>
      <c r="K21" s="54">
        <f t="shared" si="1"/>
        <v>0</v>
      </c>
      <c r="L21" s="15"/>
      <c r="M21" s="49"/>
    </row>
    <row r="22" spans="2:14" s="16" customFormat="1" ht="15.75" customHeight="1">
      <c r="B22" s="7">
        <v>2020</v>
      </c>
      <c r="C22" s="7" t="s">
        <v>23</v>
      </c>
      <c r="D22" s="2" t="s">
        <v>15</v>
      </c>
      <c r="E22" s="2" t="s">
        <v>15</v>
      </c>
      <c r="F22" s="22" t="s">
        <v>20</v>
      </c>
      <c r="G22" s="53">
        <v>1</v>
      </c>
      <c r="H22" s="29">
        <v>309006</v>
      </c>
      <c r="I22" s="55">
        <f t="shared" si="0"/>
        <v>309006</v>
      </c>
      <c r="J22" s="29">
        <v>123173</v>
      </c>
      <c r="K22" s="54">
        <f t="shared" si="1"/>
        <v>2.5087153840533234</v>
      </c>
      <c r="L22" s="15"/>
      <c r="M22" s="49"/>
    </row>
    <row r="23" spans="2:14" s="16" customFormat="1" ht="15.75" customHeight="1">
      <c r="B23" s="7">
        <v>2020</v>
      </c>
      <c r="C23" s="7" t="s">
        <v>24</v>
      </c>
      <c r="D23" s="2" t="s">
        <v>15</v>
      </c>
      <c r="E23" s="2" t="s">
        <v>15</v>
      </c>
      <c r="F23" s="7" t="s">
        <v>16</v>
      </c>
      <c r="G23" s="52">
        <v>0.33999999999999997</v>
      </c>
      <c r="H23" s="29">
        <v>300954</v>
      </c>
      <c r="I23" s="55">
        <f t="shared" si="0"/>
        <v>102324.35999999999</v>
      </c>
      <c r="J23" s="29"/>
      <c r="K23" s="54">
        <f t="shared" si="1"/>
        <v>0</v>
      </c>
      <c r="L23" s="15"/>
      <c r="M23" s="49"/>
    </row>
    <row r="24" spans="2:14" s="16" customFormat="1" ht="15.75" customHeight="1">
      <c r="B24" s="7">
        <v>2020</v>
      </c>
      <c r="C24" s="7" t="s">
        <v>24</v>
      </c>
      <c r="D24" s="2" t="s">
        <v>15</v>
      </c>
      <c r="E24" s="2" t="s">
        <v>15</v>
      </c>
      <c r="F24" s="7" t="s">
        <v>17</v>
      </c>
      <c r="G24" s="52">
        <v>0.19000031061799064</v>
      </c>
      <c r="H24" s="29">
        <v>300954</v>
      </c>
      <c r="I24" s="55">
        <f t="shared" si="0"/>
        <v>57181.353481726757</v>
      </c>
      <c r="J24" s="29"/>
      <c r="K24" s="54">
        <f t="shared" si="1"/>
        <v>0</v>
      </c>
      <c r="L24" s="15"/>
      <c r="M24" s="49"/>
    </row>
    <row r="25" spans="2:14" s="16" customFormat="1" ht="15.75" customHeight="1">
      <c r="B25" s="7">
        <v>2020</v>
      </c>
      <c r="C25" s="7" t="s">
        <v>24</v>
      </c>
      <c r="D25" s="2" t="s">
        <v>15</v>
      </c>
      <c r="E25" s="2" t="s">
        <v>15</v>
      </c>
      <c r="F25" s="7" t="s">
        <v>18</v>
      </c>
      <c r="G25" s="52">
        <v>0.19999999999999998</v>
      </c>
      <c r="H25" s="29">
        <v>300954</v>
      </c>
      <c r="I25" s="55">
        <f t="shared" si="0"/>
        <v>60190.799999999996</v>
      </c>
      <c r="J25" s="29"/>
      <c r="K25" s="54">
        <f t="shared" si="1"/>
        <v>0</v>
      </c>
      <c r="L25" s="15"/>
      <c r="M25" s="49"/>
    </row>
    <row r="26" spans="2:14" s="16" customFormat="1" ht="15.75" customHeight="1">
      <c r="B26" s="7">
        <v>2020</v>
      </c>
      <c r="C26" s="7" t="s">
        <v>24</v>
      </c>
      <c r="D26" s="2" t="s">
        <v>15</v>
      </c>
      <c r="E26" s="2" t="s">
        <v>15</v>
      </c>
      <c r="F26" s="7" t="s">
        <v>19</v>
      </c>
      <c r="G26" s="52">
        <v>0.26999999999999996</v>
      </c>
      <c r="H26" s="29">
        <v>300954</v>
      </c>
      <c r="I26" s="55">
        <f t="shared" si="0"/>
        <v>81257.579999999987</v>
      </c>
      <c r="J26" s="29"/>
      <c r="K26" s="54">
        <f t="shared" si="1"/>
        <v>0</v>
      </c>
      <c r="L26" s="15"/>
      <c r="M26" s="49"/>
    </row>
    <row r="27" spans="2:14" s="16" customFormat="1" ht="15.75" customHeight="1">
      <c r="B27" s="7">
        <v>2020</v>
      </c>
      <c r="C27" s="7" t="s">
        <v>24</v>
      </c>
      <c r="D27" s="2" t="s">
        <v>15</v>
      </c>
      <c r="E27" s="2" t="s">
        <v>15</v>
      </c>
      <c r="F27" s="22" t="s">
        <v>20</v>
      </c>
      <c r="G27" s="53">
        <v>1</v>
      </c>
      <c r="H27" s="29">
        <v>300954</v>
      </c>
      <c r="I27" s="55">
        <f t="shared" si="0"/>
        <v>300954</v>
      </c>
      <c r="J27" s="29">
        <v>128683</v>
      </c>
      <c r="K27" s="54">
        <f t="shared" si="1"/>
        <v>2.3387238407559661</v>
      </c>
      <c r="L27" s="15"/>
      <c r="M27" s="49"/>
    </row>
    <row r="28" spans="2:14" s="16" customFormat="1" ht="15.75" customHeight="1">
      <c r="B28" s="7">
        <v>2020</v>
      </c>
      <c r="C28" s="7" t="s">
        <v>25</v>
      </c>
      <c r="D28" s="2" t="s">
        <v>15</v>
      </c>
      <c r="E28" s="2" t="s">
        <v>15</v>
      </c>
      <c r="F28" s="7" t="s">
        <v>16</v>
      </c>
      <c r="G28" s="52">
        <v>0.33999999999999997</v>
      </c>
      <c r="H28" s="29">
        <v>275287</v>
      </c>
      <c r="I28" s="55">
        <f t="shared" si="0"/>
        <v>93597.579999999987</v>
      </c>
      <c r="J28" s="29"/>
      <c r="K28" s="54">
        <f t="shared" si="1"/>
        <v>0</v>
      </c>
      <c r="L28" s="15"/>
      <c r="M28" s="49"/>
    </row>
    <row r="29" spans="2:14" s="16" customFormat="1" ht="15.75" customHeight="1">
      <c r="B29" s="7">
        <v>2020</v>
      </c>
      <c r="C29" s="7" t="s">
        <v>25</v>
      </c>
      <c r="D29" s="2" t="s">
        <v>15</v>
      </c>
      <c r="E29" s="2" t="s">
        <v>15</v>
      </c>
      <c r="F29" s="7" t="s">
        <v>17</v>
      </c>
      <c r="G29" s="52">
        <v>0.19000031061799064</v>
      </c>
      <c r="H29" s="29">
        <v>275287</v>
      </c>
      <c r="I29" s="55">
        <f t="shared" si="0"/>
        <v>52304.615509094787</v>
      </c>
      <c r="J29" s="29"/>
      <c r="K29" s="54">
        <f t="shared" si="1"/>
        <v>0</v>
      </c>
      <c r="L29" s="15"/>
      <c r="M29" s="49"/>
    </row>
    <row r="30" spans="2:14" s="16" customFormat="1" ht="15.75" customHeight="1">
      <c r="B30" s="7">
        <v>2020</v>
      </c>
      <c r="C30" s="7" t="s">
        <v>25</v>
      </c>
      <c r="D30" s="2" t="s">
        <v>15</v>
      </c>
      <c r="E30" s="2" t="s">
        <v>15</v>
      </c>
      <c r="F30" s="7" t="s">
        <v>18</v>
      </c>
      <c r="G30" s="52">
        <v>0.19999999999999998</v>
      </c>
      <c r="H30" s="29">
        <v>275287</v>
      </c>
      <c r="I30" s="55">
        <f t="shared" si="0"/>
        <v>55057.399999999994</v>
      </c>
      <c r="J30" s="29"/>
      <c r="K30" s="54">
        <f t="shared" si="1"/>
        <v>0</v>
      </c>
      <c r="L30" s="15"/>
      <c r="M30" s="49"/>
    </row>
    <row r="31" spans="2:14" s="16" customFormat="1" ht="15.75" customHeight="1">
      <c r="B31" s="7">
        <v>2020</v>
      </c>
      <c r="C31" s="7" t="s">
        <v>25</v>
      </c>
      <c r="D31" s="2" t="s">
        <v>15</v>
      </c>
      <c r="E31" s="2" t="s">
        <v>15</v>
      </c>
      <c r="F31" s="7" t="s">
        <v>19</v>
      </c>
      <c r="G31" s="52">
        <v>0.26999999999999996</v>
      </c>
      <c r="H31" s="29">
        <v>275287</v>
      </c>
      <c r="I31" s="55">
        <f t="shared" si="0"/>
        <v>74327.489999999991</v>
      </c>
      <c r="J31" s="29"/>
      <c r="K31" s="54">
        <f t="shared" si="1"/>
        <v>0</v>
      </c>
      <c r="L31" s="15"/>
      <c r="M31" s="49"/>
    </row>
    <row r="32" spans="2:14" s="16" customFormat="1" ht="15.75" customHeight="1">
      <c r="B32" s="7">
        <v>2020</v>
      </c>
      <c r="C32" s="7" t="s">
        <v>25</v>
      </c>
      <c r="D32" s="2" t="s">
        <v>15</v>
      </c>
      <c r="E32" s="2" t="s">
        <v>15</v>
      </c>
      <c r="F32" s="22" t="s">
        <v>20</v>
      </c>
      <c r="G32" s="53">
        <v>1</v>
      </c>
      <c r="H32" s="29">
        <v>275287</v>
      </c>
      <c r="I32" s="55">
        <f t="shared" si="0"/>
        <v>275287</v>
      </c>
      <c r="J32" s="29">
        <v>99180</v>
      </c>
      <c r="K32" s="54">
        <f t="shared" si="1"/>
        <v>2.7756301673724542</v>
      </c>
      <c r="L32" s="15"/>
      <c r="M32" s="49"/>
      <c r="N32" s="49">
        <f>I32*M32</f>
        <v>0</v>
      </c>
    </row>
    <row r="33" spans="2:14" s="16" customFormat="1" ht="15.75" customHeight="1">
      <c r="B33" s="7">
        <v>2020</v>
      </c>
      <c r="C33" s="7" t="s">
        <v>26</v>
      </c>
      <c r="D33" s="2" t="s">
        <v>15</v>
      </c>
      <c r="E33" s="2" t="s">
        <v>15</v>
      </c>
      <c r="F33" s="7" t="s">
        <v>16</v>
      </c>
      <c r="G33" s="52">
        <v>0.33999999999999997</v>
      </c>
      <c r="H33" s="29">
        <v>168387</v>
      </c>
      <c r="I33" s="55">
        <f t="shared" si="0"/>
        <v>57251.579999999994</v>
      </c>
      <c r="J33" s="29"/>
      <c r="K33" s="54">
        <f t="shared" si="1"/>
        <v>0</v>
      </c>
      <c r="L33" s="15"/>
      <c r="M33" s="49"/>
      <c r="N33" s="49">
        <f t="shared" ref="N33:N96" si="2">I33*M33</f>
        <v>0</v>
      </c>
    </row>
    <row r="34" spans="2:14" s="16" customFormat="1" ht="15.75" customHeight="1">
      <c r="B34" s="7">
        <v>2020</v>
      </c>
      <c r="C34" s="7" t="s">
        <v>26</v>
      </c>
      <c r="D34" s="2" t="s">
        <v>15</v>
      </c>
      <c r="E34" s="2" t="s">
        <v>15</v>
      </c>
      <c r="F34" s="7" t="s">
        <v>17</v>
      </c>
      <c r="G34" s="52">
        <v>0.19000031061799064</v>
      </c>
      <c r="H34" s="29">
        <v>168387</v>
      </c>
      <c r="I34" s="55">
        <f t="shared" si="0"/>
        <v>31993.582304031588</v>
      </c>
      <c r="J34" s="29"/>
      <c r="K34" s="54">
        <f t="shared" si="1"/>
        <v>0</v>
      </c>
      <c r="L34" s="15"/>
      <c r="M34" s="49"/>
      <c r="N34" s="49">
        <f t="shared" si="2"/>
        <v>0</v>
      </c>
    </row>
    <row r="35" spans="2:14" s="16" customFormat="1" ht="15.75" customHeight="1">
      <c r="B35" s="7">
        <v>2020</v>
      </c>
      <c r="C35" s="7" t="s">
        <v>26</v>
      </c>
      <c r="D35" s="2" t="s">
        <v>15</v>
      </c>
      <c r="E35" s="2" t="s">
        <v>15</v>
      </c>
      <c r="F35" s="7" t="s">
        <v>18</v>
      </c>
      <c r="G35" s="52">
        <v>0.19999999999999998</v>
      </c>
      <c r="H35" s="29">
        <v>168387</v>
      </c>
      <c r="I35" s="55">
        <f t="shared" si="0"/>
        <v>33677.399999999994</v>
      </c>
      <c r="J35" s="29"/>
      <c r="K35" s="54">
        <f t="shared" si="1"/>
        <v>0</v>
      </c>
      <c r="L35" s="15"/>
      <c r="M35" s="49"/>
      <c r="N35" s="49">
        <f t="shared" si="2"/>
        <v>0</v>
      </c>
    </row>
    <row r="36" spans="2:14" s="16" customFormat="1" ht="15.75" customHeight="1">
      <c r="B36" s="7">
        <v>2020</v>
      </c>
      <c r="C36" s="7" t="s">
        <v>26</v>
      </c>
      <c r="D36" s="2" t="s">
        <v>15</v>
      </c>
      <c r="E36" s="2" t="s">
        <v>15</v>
      </c>
      <c r="F36" s="7" t="s">
        <v>19</v>
      </c>
      <c r="G36" s="52">
        <v>0.26999999999999996</v>
      </c>
      <c r="H36" s="29">
        <v>168387</v>
      </c>
      <c r="I36" s="55">
        <f t="shared" si="0"/>
        <v>45464.489999999991</v>
      </c>
      <c r="J36" s="29"/>
      <c r="K36" s="54">
        <f t="shared" si="1"/>
        <v>0</v>
      </c>
      <c r="L36" s="15"/>
      <c r="M36" s="49"/>
      <c r="N36" s="49">
        <f t="shared" si="2"/>
        <v>0</v>
      </c>
    </row>
    <row r="37" spans="2:14" s="16" customFormat="1" ht="15.75" customHeight="1">
      <c r="B37" s="7">
        <v>2020</v>
      </c>
      <c r="C37" s="7" t="s">
        <v>26</v>
      </c>
      <c r="D37" s="2" t="s">
        <v>15</v>
      </c>
      <c r="E37" s="2" t="s">
        <v>15</v>
      </c>
      <c r="F37" s="22" t="s">
        <v>20</v>
      </c>
      <c r="G37" s="53">
        <v>1</v>
      </c>
      <c r="H37" s="29">
        <v>168387</v>
      </c>
      <c r="I37" s="55">
        <f t="shared" si="0"/>
        <v>168387</v>
      </c>
      <c r="J37" s="29">
        <v>64653</v>
      </c>
      <c r="K37" s="54">
        <f t="shared" si="1"/>
        <v>2.6044731102965057</v>
      </c>
      <c r="L37" s="15"/>
      <c r="M37" s="49"/>
      <c r="N37" s="49">
        <f t="shared" si="2"/>
        <v>0</v>
      </c>
    </row>
    <row r="38" spans="2:14" s="16" customFormat="1" ht="16.5" customHeight="1">
      <c r="B38" s="7">
        <v>2020</v>
      </c>
      <c r="C38" s="7" t="s">
        <v>27</v>
      </c>
      <c r="D38" s="2" t="s">
        <v>15</v>
      </c>
      <c r="E38" s="2" t="s">
        <v>15</v>
      </c>
      <c r="F38" s="7" t="s">
        <v>16</v>
      </c>
      <c r="G38" s="52">
        <v>0.33999999999999997</v>
      </c>
      <c r="H38" s="30">
        <v>218467</v>
      </c>
      <c r="I38" s="55">
        <f t="shared" si="0"/>
        <v>74278.78</v>
      </c>
      <c r="J38" s="29"/>
      <c r="K38" s="54">
        <f t="shared" si="1"/>
        <v>0</v>
      </c>
      <c r="L38" s="15"/>
      <c r="M38" s="49"/>
      <c r="N38" s="49">
        <f t="shared" si="2"/>
        <v>0</v>
      </c>
    </row>
    <row r="39" spans="2:14" s="16" customFormat="1" ht="15.75" customHeight="1">
      <c r="B39" s="7">
        <v>2020</v>
      </c>
      <c r="C39" s="7" t="s">
        <v>27</v>
      </c>
      <c r="D39" s="2" t="s">
        <v>15</v>
      </c>
      <c r="E39" s="2" t="s">
        <v>15</v>
      </c>
      <c r="F39" s="7" t="s">
        <v>17</v>
      </c>
      <c r="G39" s="52">
        <v>0.19000031061799064</v>
      </c>
      <c r="H39" s="30">
        <v>218467</v>
      </c>
      <c r="I39" s="55">
        <f t="shared" si="0"/>
        <v>41508.797859780563</v>
      </c>
      <c r="J39" s="29"/>
      <c r="K39" s="54">
        <f t="shared" si="1"/>
        <v>0</v>
      </c>
      <c r="L39" s="15"/>
      <c r="M39" s="49"/>
      <c r="N39" s="49">
        <f t="shared" si="2"/>
        <v>0</v>
      </c>
    </row>
    <row r="40" spans="2:14" s="16" customFormat="1" ht="15.75" customHeight="1">
      <c r="B40" s="7">
        <v>2020</v>
      </c>
      <c r="C40" s="7" t="s">
        <v>27</v>
      </c>
      <c r="D40" s="2" t="s">
        <v>15</v>
      </c>
      <c r="E40" s="2" t="s">
        <v>15</v>
      </c>
      <c r="F40" s="7" t="s">
        <v>18</v>
      </c>
      <c r="G40" s="52">
        <v>0.19999999999999998</v>
      </c>
      <c r="H40" s="30">
        <v>218467</v>
      </c>
      <c r="I40" s="55">
        <f t="shared" si="0"/>
        <v>43693.399999999994</v>
      </c>
      <c r="J40" s="29"/>
      <c r="K40" s="54">
        <f t="shared" si="1"/>
        <v>0</v>
      </c>
      <c r="L40" s="15"/>
      <c r="M40" s="49"/>
      <c r="N40" s="49">
        <f t="shared" si="2"/>
        <v>0</v>
      </c>
    </row>
    <row r="41" spans="2:14" s="16" customFormat="1" ht="15.75" customHeight="1">
      <c r="B41" s="7">
        <v>2020</v>
      </c>
      <c r="C41" s="7" t="s">
        <v>27</v>
      </c>
      <c r="D41" s="2" t="s">
        <v>15</v>
      </c>
      <c r="E41" s="2" t="s">
        <v>15</v>
      </c>
      <c r="F41" s="7" t="s">
        <v>19</v>
      </c>
      <c r="G41" s="52">
        <v>0.26999999999999996</v>
      </c>
      <c r="H41" s="30">
        <v>218467</v>
      </c>
      <c r="I41" s="55">
        <f t="shared" si="0"/>
        <v>58986.089999999989</v>
      </c>
      <c r="J41" s="29"/>
      <c r="K41" s="54">
        <f t="shared" si="1"/>
        <v>0</v>
      </c>
      <c r="L41" s="15"/>
      <c r="M41" s="49"/>
      <c r="N41" s="49">
        <f t="shared" si="2"/>
        <v>0</v>
      </c>
    </row>
    <row r="42" spans="2:14" s="16" customFormat="1" ht="15.75" customHeight="1">
      <c r="B42" s="7">
        <v>2020</v>
      </c>
      <c r="C42" s="7" t="s">
        <v>27</v>
      </c>
      <c r="D42" s="2" t="s">
        <v>15</v>
      </c>
      <c r="E42" s="2" t="s">
        <v>15</v>
      </c>
      <c r="F42" s="22" t="s">
        <v>20</v>
      </c>
      <c r="G42" s="53">
        <v>1</v>
      </c>
      <c r="H42" s="30">
        <v>218467</v>
      </c>
      <c r="I42" s="55">
        <f t="shared" si="0"/>
        <v>218467</v>
      </c>
      <c r="J42" s="29">
        <v>60350</v>
      </c>
      <c r="K42" s="54">
        <f t="shared" si="1"/>
        <v>3.62</v>
      </c>
      <c r="L42" s="15"/>
      <c r="M42" s="49"/>
      <c r="N42" s="49">
        <f t="shared" si="2"/>
        <v>0</v>
      </c>
    </row>
    <row r="43" spans="2:14" s="16" customFormat="1" ht="15.75" customHeight="1">
      <c r="B43" s="7">
        <v>2020</v>
      </c>
      <c r="C43" s="7" t="s">
        <v>28</v>
      </c>
      <c r="D43" s="2" t="s">
        <v>15</v>
      </c>
      <c r="E43" s="2" t="s">
        <v>15</v>
      </c>
      <c r="F43" s="7" t="s">
        <v>16</v>
      </c>
      <c r="G43" s="52">
        <v>0.33999999999999997</v>
      </c>
      <c r="H43" s="29">
        <v>331543</v>
      </c>
      <c r="I43" s="55">
        <f t="shared" si="0"/>
        <v>112724.62</v>
      </c>
      <c r="J43" s="29"/>
      <c r="K43" s="54">
        <f t="shared" si="1"/>
        <v>0</v>
      </c>
      <c r="L43" s="15"/>
      <c r="M43" s="49"/>
      <c r="N43" s="49">
        <f t="shared" si="2"/>
        <v>0</v>
      </c>
    </row>
    <row r="44" spans="2:14" s="16" customFormat="1" ht="15.75" customHeight="1">
      <c r="B44" s="7">
        <v>2020</v>
      </c>
      <c r="C44" s="7" t="s">
        <v>28</v>
      </c>
      <c r="D44" s="2" t="s">
        <v>15</v>
      </c>
      <c r="E44" s="2" t="s">
        <v>15</v>
      </c>
      <c r="F44" s="7" t="s">
        <v>17</v>
      </c>
      <c r="G44" s="52">
        <v>0.19000031061799064</v>
      </c>
      <c r="H44" s="29">
        <v>331543</v>
      </c>
      <c r="I44" s="55">
        <f t="shared" si="0"/>
        <v>62993.272983220471</v>
      </c>
      <c r="J44" s="29"/>
      <c r="K44" s="54">
        <f t="shared" si="1"/>
        <v>0</v>
      </c>
      <c r="L44" s="15"/>
      <c r="M44" s="49"/>
      <c r="N44" s="49">
        <f t="shared" si="2"/>
        <v>0</v>
      </c>
    </row>
    <row r="45" spans="2:14" s="16" customFormat="1" ht="15.75" customHeight="1">
      <c r="B45" s="7">
        <v>2020</v>
      </c>
      <c r="C45" s="7" t="s">
        <v>28</v>
      </c>
      <c r="D45" s="2" t="s">
        <v>15</v>
      </c>
      <c r="E45" s="2" t="s">
        <v>15</v>
      </c>
      <c r="F45" s="7" t="s">
        <v>18</v>
      </c>
      <c r="G45" s="52">
        <v>0.19999999999999998</v>
      </c>
      <c r="H45" s="29">
        <v>331543</v>
      </c>
      <c r="I45" s="55">
        <f t="shared" si="0"/>
        <v>66308.599999999991</v>
      </c>
      <c r="J45" s="29"/>
      <c r="K45" s="54">
        <f t="shared" si="1"/>
        <v>0</v>
      </c>
      <c r="L45" s="15"/>
      <c r="M45" s="49"/>
      <c r="N45" s="49">
        <f t="shared" si="2"/>
        <v>0</v>
      </c>
    </row>
    <row r="46" spans="2:14" s="16" customFormat="1" ht="15.75" customHeight="1">
      <c r="B46" s="7">
        <v>2020</v>
      </c>
      <c r="C46" s="7" t="s">
        <v>28</v>
      </c>
      <c r="D46" s="2" t="s">
        <v>15</v>
      </c>
      <c r="E46" s="2" t="s">
        <v>15</v>
      </c>
      <c r="F46" s="7" t="s">
        <v>19</v>
      </c>
      <c r="G46" s="52">
        <v>0.26999999999999996</v>
      </c>
      <c r="H46" s="29">
        <v>331543</v>
      </c>
      <c r="I46" s="55">
        <f t="shared" si="0"/>
        <v>89516.609999999986</v>
      </c>
      <c r="J46" s="29"/>
      <c r="K46" s="54">
        <f t="shared" si="1"/>
        <v>0</v>
      </c>
      <c r="L46" s="15"/>
      <c r="M46" s="49"/>
      <c r="N46" s="49">
        <f t="shared" si="2"/>
        <v>0</v>
      </c>
    </row>
    <row r="47" spans="2:14" s="16" customFormat="1" ht="15.75" customHeight="1">
      <c r="B47" s="7">
        <v>2020</v>
      </c>
      <c r="C47" s="7" t="s">
        <v>28</v>
      </c>
      <c r="D47" s="2" t="s">
        <v>15</v>
      </c>
      <c r="E47" s="2" t="s">
        <v>15</v>
      </c>
      <c r="F47" s="22" t="s">
        <v>20</v>
      </c>
      <c r="G47" s="53">
        <v>1</v>
      </c>
      <c r="H47" s="29">
        <v>331543</v>
      </c>
      <c r="I47" s="55">
        <f t="shared" si="0"/>
        <v>331543</v>
      </c>
      <c r="J47" s="29">
        <v>107655</v>
      </c>
      <c r="K47" s="54">
        <f t="shared" si="1"/>
        <v>3.0796804607310388</v>
      </c>
      <c r="L47" s="15"/>
      <c r="M47" s="49"/>
      <c r="N47" s="49">
        <f t="shared" si="2"/>
        <v>0</v>
      </c>
    </row>
    <row r="48" spans="2:14" s="16" customFormat="1" ht="15.75" customHeight="1">
      <c r="B48" s="7">
        <v>2020</v>
      </c>
      <c r="C48" s="7" t="s">
        <v>29</v>
      </c>
      <c r="D48" s="2" t="s">
        <v>15</v>
      </c>
      <c r="E48" s="2" t="s">
        <v>15</v>
      </c>
      <c r="F48" s="7" t="s">
        <v>16</v>
      </c>
      <c r="G48" s="52">
        <v>0.33999999999999997</v>
      </c>
      <c r="H48" s="29">
        <v>378529</v>
      </c>
      <c r="I48" s="55">
        <f t="shared" si="0"/>
        <v>128699.85999999999</v>
      </c>
      <c r="J48" s="29"/>
      <c r="K48" s="54">
        <f t="shared" si="1"/>
        <v>0</v>
      </c>
      <c r="L48" s="15"/>
      <c r="M48" s="49"/>
      <c r="N48" s="49">
        <f t="shared" si="2"/>
        <v>0</v>
      </c>
    </row>
    <row r="49" spans="2:14" s="16" customFormat="1" ht="15.75" customHeight="1">
      <c r="B49" s="7">
        <v>2020</v>
      </c>
      <c r="C49" s="7" t="s">
        <v>29</v>
      </c>
      <c r="D49" s="2" t="s">
        <v>15</v>
      </c>
      <c r="E49" s="2" t="s">
        <v>15</v>
      </c>
      <c r="F49" s="7" t="s">
        <v>17</v>
      </c>
      <c r="G49" s="52">
        <v>0.19000031061799064</v>
      </c>
      <c r="H49" s="29">
        <v>378529</v>
      </c>
      <c r="I49" s="55">
        <f t="shared" si="0"/>
        <v>71920.627577917374</v>
      </c>
      <c r="J49" s="29"/>
      <c r="K49" s="54">
        <f t="shared" si="1"/>
        <v>0</v>
      </c>
      <c r="L49" s="15"/>
      <c r="M49" s="49"/>
      <c r="N49" s="49">
        <f t="shared" si="2"/>
        <v>0</v>
      </c>
    </row>
    <row r="50" spans="2:14" s="16" customFormat="1" ht="15.75" customHeight="1">
      <c r="B50" s="7">
        <v>2020</v>
      </c>
      <c r="C50" s="7" t="s">
        <v>29</v>
      </c>
      <c r="D50" s="2" t="s">
        <v>15</v>
      </c>
      <c r="E50" s="2" t="s">
        <v>15</v>
      </c>
      <c r="F50" s="7" t="s">
        <v>18</v>
      </c>
      <c r="G50" s="52">
        <v>0.19999999999999998</v>
      </c>
      <c r="H50" s="29">
        <v>378529</v>
      </c>
      <c r="I50" s="55">
        <f t="shared" si="0"/>
        <v>75705.799999999988</v>
      </c>
      <c r="J50" s="29"/>
      <c r="K50" s="54">
        <f t="shared" si="1"/>
        <v>0</v>
      </c>
      <c r="L50" s="15"/>
      <c r="M50" s="49"/>
      <c r="N50" s="49">
        <f t="shared" si="2"/>
        <v>0</v>
      </c>
    </row>
    <row r="51" spans="2:14" s="16" customFormat="1" ht="15.75" customHeight="1">
      <c r="B51" s="7">
        <v>2020</v>
      </c>
      <c r="C51" s="7" t="s">
        <v>29</v>
      </c>
      <c r="D51" s="2" t="s">
        <v>15</v>
      </c>
      <c r="E51" s="2" t="s">
        <v>15</v>
      </c>
      <c r="F51" s="7" t="s">
        <v>19</v>
      </c>
      <c r="G51" s="52">
        <v>0.26999999999999996</v>
      </c>
      <c r="H51" s="29">
        <v>378529</v>
      </c>
      <c r="I51" s="55">
        <f t="shared" si="0"/>
        <v>102202.82999999999</v>
      </c>
      <c r="J51" s="29"/>
      <c r="K51" s="54">
        <f t="shared" si="1"/>
        <v>0</v>
      </c>
      <c r="L51" s="15"/>
      <c r="M51" s="49"/>
      <c r="N51" s="49">
        <f t="shared" si="2"/>
        <v>0</v>
      </c>
    </row>
    <row r="52" spans="2:14" s="16" customFormat="1" ht="15.75" customHeight="1">
      <c r="B52" s="7">
        <v>2020</v>
      </c>
      <c r="C52" s="7" t="s">
        <v>29</v>
      </c>
      <c r="D52" s="2" t="s">
        <v>15</v>
      </c>
      <c r="E52" s="2" t="s">
        <v>15</v>
      </c>
      <c r="F52" s="22" t="s">
        <v>20</v>
      </c>
      <c r="G52" s="53">
        <v>1</v>
      </c>
      <c r="H52" s="29">
        <v>378529</v>
      </c>
      <c r="I52" s="55">
        <f t="shared" si="0"/>
        <v>378529</v>
      </c>
      <c r="J52" s="29">
        <v>111372</v>
      </c>
      <c r="K52" s="54">
        <f t="shared" si="1"/>
        <v>3.3987806630032682</v>
      </c>
      <c r="L52" s="15"/>
      <c r="M52" s="49"/>
      <c r="N52" s="49">
        <f t="shared" si="2"/>
        <v>0</v>
      </c>
    </row>
    <row r="53" spans="2:14" s="16" customFormat="1" ht="15.75" customHeight="1">
      <c r="B53" s="7">
        <v>2020</v>
      </c>
      <c r="C53" s="7" t="s">
        <v>30</v>
      </c>
      <c r="D53" s="2" t="s">
        <v>15</v>
      </c>
      <c r="E53" s="2" t="s">
        <v>15</v>
      </c>
      <c r="F53" s="7" t="s">
        <v>16</v>
      </c>
      <c r="G53" s="52">
        <v>0.33999999999999997</v>
      </c>
      <c r="H53" s="29">
        <v>359084</v>
      </c>
      <c r="I53" s="55">
        <f t="shared" si="0"/>
        <v>122088.55999999998</v>
      </c>
      <c r="J53" s="29"/>
      <c r="K53" s="54">
        <f t="shared" si="1"/>
        <v>0</v>
      </c>
      <c r="L53" s="15"/>
      <c r="M53" s="49"/>
      <c r="N53" s="49">
        <f t="shared" si="2"/>
        <v>0</v>
      </c>
    </row>
    <row r="54" spans="2:14" s="16" customFormat="1" ht="15.75" customHeight="1">
      <c r="B54" s="7">
        <v>2020</v>
      </c>
      <c r="C54" s="7" t="s">
        <v>30</v>
      </c>
      <c r="D54" s="2" t="s">
        <v>15</v>
      </c>
      <c r="E54" s="2" t="s">
        <v>15</v>
      </c>
      <c r="F54" s="7" t="s">
        <v>17</v>
      </c>
      <c r="G54" s="52">
        <v>0.19000031061799064</v>
      </c>
      <c r="H54" s="29">
        <v>359084</v>
      </c>
      <c r="I54" s="55">
        <f t="shared" si="0"/>
        <v>68226.071537950556</v>
      </c>
      <c r="J54" s="29"/>
      <c r="K54" s="54">
        <f t="shared" si="1"/>
        <v>0</v>
      </c>
      <c r="L54" s="15"/>
      <c r="M54" s="49"/>
      <c r="N54" s="49">
        <f t="shared" si="2"/>
        <v>0</v>
      </c>
    </row>
    <row r="55" spans="2:14" s="16" customFormat="1" ht="15.75" customHeight="1">
      <c r="B55" s="7">
        <v>2020</v>
      </c>
      <c r="C55" s="7" t="s">
        <v>30</v>
      </c>
      <c r="D55" s="2" t="s">
        <v>15</v>
      </c>
      <c r="E55" s="2" t="s">
        <v>15</v>
      </c>
      <c r="F55" s="7" t="s">
        <v>18</v>
      </c>
      <c r="G55" s="52">
        <v>0.19999999999999998</v>
      </c>
      <c r="H55" s="29">
        <v>359084</v>
      </c>
      <c r="I55" s="55">
        <f t="shared" si="0"/>
        <v>71816.799999999988</v>
      </c>
      <c r="J55" s="29"/>
      <c r="K55" s="54">
        <f t="shared" si="1"/>
        <v>0</v>
      </c>
      <c r="L55" s="15"/>
      <c r="M55" s="49"/>
      <c r="N55" s="49">
        <f t="shared" si="2"/>
        <v>0</v>
      </c>
    </row>
    <row r="56" spans="2:14" s="16" customFormat="1" ht="15.75" customHeight="1">
      <c r="B56" s="7">
        <v>2020</v>
      </c>
      <c r="C56" s="7" t="s">
        <v>30</v>
      </c>
      <c r="D56" s="2" t="s">
        <v>15</v>
      </c>
      <c r="E56" s="2" t="s">
        <v>15</v>
      </c>
      <c r="F56" s="7" t="s">
        <v>19</v>
      </c>
      <c r="G56" s="52">
        <v>0.26999999999999996</v>
      </c>
      <c r="H56" s="29">
        <v>359084</v>
      </c>
      <c r="I56" s="55">
        <f t="shared" si="0"/>
        <v>96952.68</v>
      </c>
      <c r="J56" s="29"/>
      <c r="K56" s="54">
        <f t="shared" si="1"/>
        <v>0</v>
      </c>
      <c r="L56" s="15"/>
      <c r="M56" s="49"/>
      <c r="N56" s="49">
        <f t="shared" si="2"/>
        <v>0</v>
      </c>
    </row>
    <row r="57" spans="2:14" s="16" customFormat="1" ht="15.75" customHeight="1">
      <c r="B57" s="7">
        <v>2020</v>
      </c>
      <c r="C57" s="7" t="s">
        <v>30</v>
      </c>
      <c r="D57" s="2" t="s">
        <v>15</v>
      </c>
      <c r="E57" s="2" t="s">
        <v>15</v>
      </c>
      <c r="F57" s="22" t="s">
        <v>20</v>
      </c>
      <c r="G57" s="53">
        <v>1</v>
      </c>
      <c r="H57" s="29">
        <v>359084</v>
      </c>
      <c r="I57" s="55">
        <f t="shared" si="0"/>
        <v>359084</v>
      </c>
      <c r="J57" s="29">
        <v>114339</v>
      </c>
      <c r="K57" s="54">
        <f t="shared" si="1"/>
        <v>3.1405207322086079</v>
      </c>
      <c r="L57" s="15"/>
      <c r="M57" s="49"/>
      <c r="N57" s="49">
        <f t="shared" si="2"/>
        <v>0</v>
      </c>
    </row>
    <row r="58" spans="2:14" s="16" customFormat="1" ht="15.75" customHeight="1">
      <c r="B58" s="7">
        <v>2020</v>
      </c>
      <c r="C58" s="7" t="s">
        <v>31</v>
      </c>
      <c r="D58" s="2" t="s">
        <v>15</v>
      </c>
      <c r="E58" s="2" t="s">
        <v>15</v>
      </c>
      <c r="F58" s="7" t="s">
        <v>16</v>
      </c>
      <c r="G58" s="52">
        <v>0.33999999999999997</v>
      </c>
      <c r="H58" s="29">
        <v>303384</v>
      </c>
      <c r="I58" s="55">
        <f t="shared" si="0"/>
        <v>103150.56</v>
      </c>
      <c r="J58" s="29"/>
      <c r="K58" s="54">
        <f t="shared" si="1"/>
        <v>0</v>
      </c>
      <c r="L58" s="15"/>
      <c r="M58" s="49"/>
      <c r="N58" s="49">
        <f t="shared" si="2"/>
        <v>0</v>
      </c>
    </row>
    <row r="59" spans="2:14" s="16" customFormat="1" ht="15.75" customHeight="1">
      <c r="B59" s="7">
        <v>2020</v>
      </c>
      <c r="C59" s="7" t="s">
        <v>31</v>
      </c>
      <c r="D59" s="2" t="s">
        <v>15</v>
      </c>
      <c r="E59" s="2" t="s">
        <v>15</v>
      </c>
      <c r="F59" s="7" t="s">
        <v>17</v>
      </c>
      <c r="G59" s="52">
        <v>0.19000031061799064</v>
      </c>
      <c r="H59" s="29">
        <v>303384</v>
      </c>
      <c r="I59" s="55">
        <f t="shared" si="0"/>
        <v>57643.054236528471</v>
      </c>
      <c r="J59" s="29"/>
      <c r="K59" s="54">
        <f t="shared" si="1"/>
        <v>0</v>
      </c>
      <c r="L59" s="15"/>
      <c r="M59" s="49"/>
      <c r="N59" s="49">
        <f t="shared" si="2"/>
        <v>0</v>
      </c>
    </row>
    <row r="60" spans="2:14" s="16" customFormat="1" ht="15.75" customHeight="1">
      <c r="B60" s="7">
        <v>2020</v>
      </c>
      <c r="C60" s="7" t="s">
        <v>31</v>
      </c>
      <c r="D60" s="2" t="s">
        <v>15</v>
      </c>
      <c r="E60" s="2" t="s">
        <v>15</v>
      </c>
      <c r="F60" s="7" t="s">
        <v>18</v>
      </c>
      <c r="G60" s="52">
        <v>0.19999999999999998</v>
      </c>
      <c r="H60" s="29">
        <v>303384</v>
      </c>
      <c r="I60" s="55">
        <f t="shared" si="0"/>
        <v>60676.799999999996</v>
      </c>
      <c r="J60" s="29"/>
      <c r="K60" s="54">
        <f t="shared" si="1"/>
        <v>0</v>
      </c>
      <c r="L60" s="15"/>
      <c r="M60" s="49"/>
      <c r="N60" s="49">
        <f t="shared" si="2"/>
        <v>0</v>
      </c>
    </row>
    <row r="61" spans="2:14" s="16" customFormat="1" ht="15.75" customHeight="1">
      <c r="B61" s="7">
        <v>2020</v>
      </c>
      <c r="C61" s="7" t="s">
        <v>31</v>
      </c>
      <c r="D61" s="2" t="s">
        <v>15</v>
      </c>
      <c r="E61" s="2" t="s">
        <v>15</v>
      </c>
      <c r="F61" s="7" t="s">
        <v>19</v>
      </c>
      <c r="G61" s="52">
        <v>0.26999999999999996</v>
      </c>
      <c r="H61" s="29">
        <v>303384</v>
      </c>
      <c r="I61" s="55">
        <f t="shared" si="0"/>
        <v>81913.679999999993</v>
      </c>
      <c r="J61" s="29"/>
      <c r="K61" s="54">
        <f t="shared" si="1"/>
        <v>0</v>
      </c>
      <c r="L61" s="15"/>
      <c r="M61" s="49"/>
      <c r="N61" s="49">
        <f t="shared" si="2"/>
        <v>0</v>
      </c>
    </row>
    <row r="62" spans="2:14" s="16" customFormat="1" ht="15.75" customHeight="1">
      <c r="B62" s="7">
        <v>2020</v>
      </c>
      <c r="C62" s="7" t="s">
        <v>31</v>
      </c>
      <c r="D62" s="2" t="s">
        <v>15</v>
      </c>
      <c r="E62" s="2" t="s">
        <v>15</v>
      </c>
      <c r="F62" s="22" t="s">
        <v>20</v>
      </c>
      <c r="G62" s="53">
        <v>1</v>
      </c>
      <c r="H62" s="29">
        <v>303384</v>
      </c>
      <c r="I62" s="55">
        <f t="shared" si="0"/>
        <v>303384</v>
      </c>
      <c r="J62" s="29">
        <v>127249</v>
      </c>
      <c r="K62" s="54">
        <f t="shared" si="1"/>
        <v>2.3841759070798201</v>
      </c>
      <c r="L62" s="15"/>
      <c r="M62" s="49"/>
      <c r="N62" s="49">
        <f t="shared" si="2"/>
        <v>0</v>
      </c>
    </row>
    <row r="63" spans="2:14" s="16" customFormat="1" ht="15.75" customHeight="1">
      <c r="B63" s="7">
        <v>2020</v>
      </c>
      <c r="C63" s="7" t="s">
        <v>14</v>
      </c>
      <c r="D63" s="2" t="s">
        <v>15</v>
      </c>
      <c r="E63" s="2" t="s">
        <v>15</v>
      </c>
      <c r="F63" s="7" t="s">
        <v>16</v>
      </c>
      <c r="G63" s="52">
        <v>0.33999999999999997</v>
      </c>
      <c r="H63" s="29">
        <v>388552</v>
      </c>
      <c r="I63" s="55">
        <f t="shared" si="0"/>
        <v>132107.68</v>
      </c>
      <c r="J63" s="29"/>
      <c r="K63" s="54">
        <f t="shared" si="1"/>
        <v>0</v>
      </c>
      <c r="L63" s="15"/>
      <c r="M63" s="49"/>
      <c r="N63" s="49">
        <f t="shared" si="2"/>
        <v>0</v>
      </c>
    </row>
    <row r="64" spans="2:14" s="16" customFormat="1" ht="15.75" customHeight="1">
      <c r="B64" s="7">
        <v>2020</v>
      </c>
      <c r="C64" s="7" t="s">
        <v>14</v>
      </c>
      <c r="D64" s="2" t="s">
        <v>15</v>
      </c>
      <c r="E64" s="2" t="s">
        <v>15</v>
      </c>
      <c r="F64" s="7" t="s">
        <v>17</v>
      </c>
      <c r="G64" s="52">
        <v>0.19000031061799064</v>
      </c>
      <c r="H64" s="29">
        <v>388552</v>
      </c>
      <c r="I64" s="55">
        <f t="shared" si="0"/>
        <v>73825.000691241497</v>
      </c>
      <c r="J64" s="29"/>
      <c r="K64" s="54">
        <f t="shared" si="1"/>
        <v>0</v>
      </c>
      <c r="L64" s="15"/>
      <c r="M64" s="49"/>
      <c r="N64" s="49">
        <f t="shared" si="2"/>
        <v>0</v>
      </c>
    </row>
    <row r="65" spans="2:14" s="16" customFormat="1" ht="15.75" customHeight="1">
      <c r="B65" s="7">
        <v>2020</v>
      </c>
      <c r="C65" s="7" t="s">
        <v>14</v>
      </c>
      <c r="D65" s="2" t="s">
        <v>15</v>
      </c>
      <c r="E65" s="2" t="s">
        <v>15</v>
      </c>
      <c r="F65" s="7" t="s">
        <v>18</v>
      </c>
      <c r="G65" s="52">
        <v>0.19999999999999998</v>
      </c>
      <c r="H65" s="29">
        <v>388552</v>
      </c>
      <c r="I65" s="55">
        <f t="shared" si="0"/>
        <v>77710.399999999994</v>
      </c>
      <c r="J65" s="29"/>
      <c r="K65" s="54">
        <f t="shared" si="1"/>
        <v>0</v>
      </c>
      <c r="L65" s="15"/>
      <c r="M65" s="49"/>
      <c r="N65" s="49">
        <f t="shared" si="2"/>
        <v>0</v>
      </c>
    </row>
    <row r="66" spans="2:14" s="16" customFormat="1" ht="15.75" customHeight="1">
      <c r="B66" s="7">
        <v>2020</v>
      </c>
      <c r="C66" s="7" t="s">
        <v>14</v>
      </c>
      <c r="D66" s="2" t="s">
        <v>15</v>
      </c>
      <c r="E66" s="2" t="s">
        <v>15</v>
      </c>
      <c r="F66" s="7" t="s">
        <v>19</v>
      </c>
      <c r="G66" s="52">
        <v>0.26999999999999996</v>
      </c>
      <c r="H66" s="29">
        <v>388552</v>
      </c>
      <c r="I66" s="55">
        <f t="shared" si="0"/>
        <v>104909.03999999998</v>
      </c>
      <c r="J66" s="29"/>
      <c r="K66" s="54">
        <f t="shared" si="1"/>
        <v>0</v>
      </c>
      <c r="L66" s="15"/>
      <c r="M66" s="49"/>
      <c r="N66" s="49">
        <f t="shared" si="2"/>
        <v>0</v>
      </c>
    </row>
    <row r="67" spans="2:14" s="16" customFormat="1" ht="15.75" customHeight="1">
      <c r="B67" s="7">
        <v>2020</v>
      </c>
      <c r="C67" s="7" t="s">
        <v>14</v>
      </c>
      <c r="D67" s="2" t="s">
        <v>15</v>
      </c>
      <c r="E67" s="2" t="s">
        <v>15</v>
      </c>
      <c r="F67" s="22" t="s">
        <v>20</v>
      </c>
      <c r="G67" s="53">
        <v>1</v>
      </c>
      <c r="H67" s="29">
        <v>388552</v>
      </c>
      <c r="I67" s="55">
        <f t="shared" si="0"/>
        <v>388552</v>
      </c>
      <c r="J67" s="29">
        <v>130238</v>
      </c>
      <c r="K67" s="54">
        <f t="shared" si="1"/>
        <v>2.9833996222300709</v>
      </c>
      <c r="L67" s="15"/>
      <c r="M67" s="49"/>
      <c r="N67" s="49">
        <f t="shared" si="2"/>
        <v>0</v>
      </c>
    </row>
    <row r="68" spans="2:14" s="16" customFormat="1" ht="15.75" customHeight="1">
      <c r="B68" s="7">
        <v>2020</v>
      </c>
      <c r="C68" s="7" t="s">
        <v>21</v>
      </c>
      <c r="D68" s="2" t="s">
        <v>15</v>
      </c>
      <c r="E68" s="2" t="s">
        <v>15</v>
      </c>
      <c r="F68" s="7" t="s">
        <v>16</v>
      </c>
      <c r="G68" s="52">
        <v>0.33999999999999997</v>
      </c>
      <c r="H68" s="29">
        <v>365666</v>
      </c>
      <c r="I68" s="55">
        <f t="shared" si="0"/>
        <v>124326.43999999999</v>
      </c>
      <c r="J68" s="29"/>
      <c r="K68" s="54">
        <f t="shared" ref="K68:K131" si="3">IFERROR(I68/J68,0)</f>
        <v>0</v>
      </c>
      <c r="L68" s="15"/>
      <c r="M68" s="49"/>
      <c r="N68" s="49">
        <f t="shared" si="2"/>
        <v>0</v>
      </c>
    </row>
    <row r="69" spans="2:14" s="16" customFormat="1" ht="15.75" customHeight="1">
      <c r="B69" s="7">
        <v>2020</v>
      </c>
      <c r="C69" s="7" t="s">
        <v>21</v>
      </c>
      <c r="D69" s="2" t="s">
        <v>15</v>
      </c>
      <c r="E69" s="2" t="s">
        <v>15</v>
      </c>
      <c r="F69" s="7" t="s">
        <v>17</v>
      </c>
      <c r="G69" s="52">
        <v>0.19000031061799064</v>
      </c>
      <c r="H69" s="29">
        <v>365666</v>
      </c>
      <c r="I69" s="55">
        <f t="shared" ref="I69:I133" si="4">G69*H69</f>
        <v>69476.653582438157</v>
      </c>
      <c r="J69" s="29"/>
      <c r="K69" s="54">
        <f t="shared" si="3"/>
        <v>0</v>
      </c>
      <c r="L69" s="15"/>
      <c r="M69" s="49"/>
      <c r="N69" s="49">
        <f t="shared" si="2"/>
        <v>0</v>
      </c>
    </row>
    <row r="70" spans="2:14" s="16" customFormat="1" ht="15.75" customHeight="1">
      <c r="B70" s="7">
        <v>2020</v>
      </c>
      <c r="C70" s="7" t="s">
        <v>21</v>
      </c>
      <c r="D70" s="2" t="s">
        <v>15</v>
      </c>
      <c r="E70" s="2" t="s">
        <v>15</v>
      </c>
      <c r="F70" s="7" t="s">
        <v>18</v>
      </c>
      <c r="G70" s="52">
        <v>0.19999999999999998</v>
      </c>
      <c r="H70" s="29">
        <v>365666</v>
      </c>
      <c r="I70" s="55">
        <f t="shared" si="4"/>
        <v>73133.2</v>
      </c>
      <c r="J70" s="29"/>
      <c r="K70" s="54">
        <f t="shared" si="3"/>
        <v>0</v>
      </c>
      <c r="L70" s="15"/>
      <c r="M70" s="49"/>
      <c r="N70" s="49">
        <f t="shared" si="2"/>
        <v>0</v>
      </c>
    </row>
    <row r="71" spans="2:14" s="16" customFormat="1" ht="15.75" customHeight="1">
      <c r="B71" s="7">
        <v>2020</v>
      </c>
      <c r="C71" s="7" t="s">
        <v>21</v>
      </c>
      <c r="D71" s="2" t="s">
        <v>15</v>
      </c>
      <c r="E71" s="2" t="s">
        <v>15</v>
      </c>
      <c r="F71" s="7" t="s">
        <v>19</v>
      </c>
      <c r="G71" s="52">
        <v>0.26999999999999996</v>
      </c>
      <c r="H71" s="29">
        <v>365666</v>
      </c>
      <c r="I71" s="55">
        <f t="shared" si="4"/>
        <v>98729.819999999992</v>
      </c>
      <c r="J71" s="29"/>
      <c r="K71" s="54">
        <f t="shared" si="3"/>
        <v>0</v>
      </c>
      <c r="L71" s="15"/>
      <c r="M71" s="49"/>
      <c r="N71" s="49">
        <f t="shared" si="2"/>
        <v>0</v>
      </c>
    </row>
    <row r="72" spans="2:14" s="16" customFormat="1" ht="15.75" customHeight="1">
      <c r="B72" s="7">
        <v>2020</v>
      </c>
      <c r="C72" s="7" t="s">
        <v>21</v>
      </c>
      <c r="D72" s="2" t="s">
        <v>15</v>
      </c>
      <c r="E72" s="2" t="s">
        <v>15</v>
      </c>
      <c r="F72" s="22" t="s">
        <v>20</v>
      </c>
      <c r="G72" s="53">
        <v>1</v>
      </c>
      <c r="H72" s="29">
        <v>365666</v>
      </c>
      <c r="I72" s="55">
        <f t="shared" si="4"/>
        <v>365666</v>
      </c>
      <c r="J72" s="29">
        <v>126328</v>
      </c>
      <c r="K72" s="54">
        <f t="shared" si="3"/>
        <v>2.8945760243176495</v>
      </c>
      <c r="L72" s="15"/>
      <c r="M72" s="49"/>
      <c r="N72" s="49">
        <f t="shared" si="2"/>
        <v>0</v>
      </c>
    </row>
    <row r="73" spans="2:14" s="16" customFormat="1" ht="15.75" customHeight="1">
      <c r="B73" s="7">
        <v>2020</v>
      </c>
      <c r="C73" s="7" t="s">
        <v>22</v>
      </c>
      <c r="D73" s="2" t="s">
        <v>15</v>
      </c>
      <c r="E73" s="2" t="s">
        <v>15</v>
      </c>
      <c r="F73" s="7" t="s">
        <v>16</v>
      </c>
      <c r="G73" s="52">
        <v>0.33999999999999997</v>
      </c>
      <c r="H73" s="29">
        <v>367130</v>
      </c>
      <c r="I73" s="55">
        <f t="shared" si="4"/>
        <v>124824.19999999998</v>
      </c>
      <c r="J73" s="29"/>
      <c r="K73" s="54">
        <f t="shared" si="3"/>
        <v>0</v>
      </c>
      <c r="L73" s="15"/>
      <c r="M73" s="49"/>
      <c r="N73" s="49">
        <f t="shared" si="2"/>
        <v>0</v>
      </c>
    </row>
    <row r="74" spans="2:14" s="16" customFormat="1" ht="15.75" customHeight="1">
      <c r="B74" s="7">
        <v>2020</v>
      </c>
      <c r="C74" s="7" t="s">
        <v>22</v>
      </c>
      <c r="D74" s="2" t="s">
        <v>15</v>
      </c>
      <c r="E74" s="2" t="s">
        <v>15</v>
      </c>
      <c r="F74" s="7" t="s">
        <v>17</v>
      </c>
      <c r="G74" s="52">
        <v>0.19000031061799064</v>
      </c>
      <c r="H74" s="29">
        <v>367130</v>
      </c>
      <c r="I74" s="55">
        <f t="shared" si="4"/>
        <v>69754.814037182907</v>
      </c>
      <c r="J74" s="29"/>
      <c r="K74" s="54">
        <f t="shared" si="3"/>
        <v>0</v>
      </c>
      <c r="L74" s="15"/>
      <c r="M74" s="49"/>
      <c r="N74" s="49">
        <f t="shared" si="2"/>
        <v>0</v>
      </c>
    </row>
    <row r="75" spans="2:14" s="16" customFormat="1" ht="15.75" customHeight="1">
      <c r="B75" s="7">
        <v>2020</v>
      </c>
      <c r="C75" s="7" t="s">
        <v>22</v>
      </c>
      <c r="D75" s="2" t="s">
        <v>15</v>
      </c>
      <c r="E75" s="2" t="s">
        <v>15</v>
      </c>
      <c r="F75" s="7" t="s">
        <v>18</v>
      </c>
      <c r="G75" s="52">
        <v>0.19999999999999998</v>
      </c>
      <c r="H75" s="29">
        <v>367130</v>
      </c>
      <c r="I75" s="55">
        <f t="shared" si="4"/>
        <v>73426</v>
      </c>
      <c r="J75" s="29"/>
      <c r="K75" s="54">
        <f t="shared" si="3"/>
        <v>0</v>
      </c>
      <c r="L75" s="15"/>
      <c r="M75" s="49"/>
      <c r="N75" s="49">
        <f t="shared" si="2"/>
        <v>0</v>
      </c>
    </row>
    <row r="76" spans="2:14" s="16" customFormat="1" ht="15.75" customHeight="1">
      <c r="B76" s="7">
        <v>2020</v>
      </c>
      <c r="C76" s="7" t="s">
        <v>22</v>
      </c>
      <c r="D76" s="2" t="s">
        <v>15</v>
      </c>
      <c r="E76" s="2" t="s">
        <v>15</v>
      </c>
      <c r="F76" s="7" t="s">
        <v>19</v>
      </c>
      <c r="G76" s="52">
        <v>0.26999999999999996</v>
      </c>
      <c r="H76" s="29">
        <v>367130</v>
      </c>
      <c r="I76" s="55">
        <f t="shared" si="4"/>
        <v>99125.099999999991</v>
      </c>
      <c r="J76" s="29"/>
      <c r="K76" s="54">
        <f t="shared" si="3"/>
        <v>0</v>
      </c>
      <c r="L76" s="15"/>
      <c r="M76" s="49"/>
      <c r="N76" s="49">
        <f t="shared" si="2"/>
        <v>0</v>
      </c>
    </row>
    <row r="77" spans="2:14" s="16" customFormat="1" ht="15.75" customHeight="1">
      <c r="B77" s="7">
        <v>2020</v>
      </c>
      <c r="C77" s="7" t="s">
        <v>22</v>
      </c>
      <c r="D77" s="2" t="s">
        <v>15</v>
      </c>
      <c r="E77" s="2" t="s">
        <v>15</v>
      </c>
      <c r="F77" s="22" t="s">
        <v>20</v>
      </c>
      <c r="G77" s="53">
        <v>1</v>
      </c>
      <c r="H77" s="29">
        <v>367130</v>
      </c>
      <c r="I77" s="55">
        <f t="shared" si="4"/>
        <v>367130</v>
      </c>
      <c r="J77" s="29">
        <v>126735</v>
      </c>
      <c r="K77" s="54">
        <f t="shared" si="3"/>
        <v>2.89683197222551</v>
      </c>
      <c r="L77" s="15"/>
      <c r="M77" s="49"/>
      <c r="N77" s="49">
        <f t="shared" si="2"/>
        <v>0</v>
      </c>
    </row>
    <row r="78" spans="2:14" s="16" customFormat="1" ht="15.75" customHeight="1">
      <c r="B78" s="7">
        <v>2021</v>
      </c>
      <c r="C78" s="7" t="s">
        <v>23</v>
      </c>
      <c r="D78" s="2" t="s">
        <v>15</v>
      </c>
      <c r="E78" s="2" t="s">
        <v>15</v>
      </c>
      <c r="F78" s="7" t="s">
        <v>16</v>
      </c>
      <c r="G78" s="52">
        <v>0.33999999999999997</v>
      </c>
      <c r="H78" s="29">
        <v>302003</v>
      </c>
      <c r="I78" s="55">
        <f t="shared" si="4"/>
        <v>102681.01999999999</v>
      </c>
      <c r="J78" s="29"/>
      <c r="K78" s="54">
        <f t="shared" si="3"/>
        <v>0</v>
      </c>
      <c r="L78" s="15"/>
      <c r="M78" s="49"/>
      <c r="N78" s="49">
        <f t="shared" si="2"/>
        <v>0</v>
      </c>
    </row>
    <row r="79" spans="2:14" s="16" customFormat="1" ht="15.75" customHeight="1">
      <c r="B79" s="7">
        <v>2021</v>
      </c>
      <c r="C79" s="7" t="s">
        <v>23</v>
      </c>
      <c r="D79" s="2" t="s">
        <v>15</v>
      </c>
      <c r="E79" s="2" t="s">
        <v>15</v>
      </c>
      <c r="F79" s="7" t="s">
        <v>17</v>
      </c>
      <c r="G79" s="52">
        <v>0.19000031061799064</v>
      </c>
      <c r="H79" s="29">
        <v>302003</v>
      </c>
      <c r="I79" s="55">
        <f t="shared" si="4"/>
        <v>57380.663807565026</v>
      </c>
      <c r="J79" s="29"/>
      <c r="K79" s="54">
        <f t="shared" si="3"/>
        <v>0</v>
      </c>
      <c r="L79" s="15"/>
      <c r="M79" s="49"/>
      <c r="N79" s="49">
        <f t="shared" si="2"/>
        <v>0</v>
      </c>
    </row>
    <row r="80" spans="2:14" s="16" customFormat="1" ht="15.75" customHeight="1">
      <c r="B80" s="7">
        <v>2021</v>
      </c>
      <c r="C80" s="7" t="s">
        <v>23</v>
      </c>
      <c r="D80" s="2" t="s">
        <v>15</v>
      </c>
      <c r="E80" s="2" t="s">
        <v>15</v>
      </c>
      <c r="F80" s="7" t="s">
        <v>18</v>
      </c>
      <c r="G80" s="52">
        <v>0.19999999999999998</v>
      </c>
      <c r="H80" s="29">
        <v>302003</v>
      </c>
      <c r="I80" s="55">
        <f t="shared" si="4"/>
        <v>60400.6</v>
      </c>
      <c r="J80" s="29"/>
      <c r="K80" s="54">
        <f t="shared" si="3"/>
        <v>0</v>
      </c>
      <c r="L80" s="15"/>
      <c r="M80" s="49"/>
      <c r="N80" s="49">
        <f t="shared" si="2"/>
        <v>0</v>
      </c>
    </row>
    <row r="81" spans="2:14" s="16" customFormat="1" ht="15.75" customHeight="1">
      <c r="B81" s="7">
        <v>2021</v>
      </c>
      <c r="C81" s="7" t="s">
        <v>23</v>
      </c>
      <c r="D81" s="2" t="s">
        <v>15</v>
      </c>
      <c r="E81" s="2" t="s">
        <v>15</v>
      </c>
      <c r="F81" s="7" t="s">
        <v>19</v>
      </c>
      <c r="G81" s="52">
        <v>0.26999999999999996</v>
      </c>
      <c r="H81" s="29">
        <v>302003</v>
      </c>
      <c r="I81" s="55">
        <f t="shared" si="4"/>
        <v>81540.809999999983</v>
      </c>
      <c r="J81" s="29"/>
      <c r="K81" s="54">
        <f t="shared" si="3"/>
        <v>0</v>
      </c>
      <c r="L81" s="15"/>
      <c r="M81" s="49"/>
      <c r="N81" s="49">
        <f t="shared" si="2"/>
        <v>0</v>
      </c>
    </row>
    <row r="82" spans="2:14" s="16" customFormat="1" ht="15.75" customHeight="1">
      <c r="B82" s="7">
        <v>2021</v>
      </c>
      <c r="C82" s="7" t="s">
        <v>23</v>
      </c>
      <c r="D82" s="2" t="s">
        <v>15</v>
      </c>
      <c r="E82" s="2" t="s">
        <v>15</v>
      </c>
      <c r="F82" s="22" t="s">
        <v>20</v>
      </c>
      <c r="G82" s="53">
        <v>1</v>
      </c>
      <c r="H82" s="29">
        <v>302003</v>
      </c>
      <c r="I82" s="55">
        <f t="shared" si="4"/>
        <v>302003</v>
      </c>
      <c r="J82" s="29">
        <v>122303</v>
      </c>
      <c r="K82" s="54">
        <f t="shared" si="3"/>
        <v>2.4693016524533333</v>
      </c>
      <c r="L82" s="15"/>
      <c r="M82" s="49"/>
      <c r="N82" s="49">
        <f t="shared" si="2"/>
        <v>0</v>
      </c>
    </row>
    <row r="83" spans="2:14" s="16" customFormat="1" ht="15.75" customHeight="1">
      <c r="B83" s="7">
        <v>2021</v>
      </c>
      <c r="C83" s="7" t="s">
        <v>24</v>
      </c>
      <c r="D83" s="2" t="s">
        <v>15</v>
      </c>
      <c r="E83" s="2" t="s">
        <v>15</v>
      </c>
      <c r="F83" s="7" t="s">
        <v>16</v>
      </c>
      <c r="G83" s="52">
        <v>0.33999999999999997</v>
      </c>
      <c r="H83" s="29">
        <v>319157</v>
      </c>
      <c r="I83" s="55">
        <f t="shared" si="4"/>
        <v>108513.37999999999</v>
      </c>
      <c r="J83" s="29"/>
      <c r="K83" s="54">
        <f t="shared" si="3"/>
        <v>0</v>
      </c>
      <c r="L83" s="15"/>
      <c r="M83" s="49"/>
      <c r="N83" s="49">
        <f t="shared" si="2"/>
        <v>0</v>
      </c>
    </row>
    <row r="84" spans="2:14" s="16" customFormat="1" ht="15.75" customHeight="1">
      <c r="B84" s="7">
        <v>2021</v>
      </c>
      <c r="C84" s="7" t="s">
        <v>24</v>
      </c>
      <c r="D84" s="2" t="s">
        <v>15</v>
      </c>
      <c r="E84" s="2" t="s">
        <v>15</v>
      </c>
      <c r="F84" s="7" t="s">
        <v>17</v>
      </c>
      <c r="G84" s="52">
        <v>0.19000031061799064</v>
      </c>
      <c r="H84" s="29">
        <v>319157</v>
      </c>
      <c r="I84" s="55">
        <f t="shared" si="4"/>
        <v>60639.929135906037</v>
      </c>
      <c r="J84" s="29"/>
      <c r="K84" s="54">
        <f t="shared" si="3"/>
        <v>0</v>
      </c>
      <c r="L84" s="15"/>
      <c r="M84" s="49"/>
      <c r="N84" s="49">
        <f t="shared" si="2"/>
        <v>0</v>
      </c>
    </row>
    <row r="85" spans="2:14" s="16" customFormat="1" ht="15.75" customHeight="1">
      <c r="B85" s="7">
        <v>2021</v>
      </c>
      <c r="C85" s="7" t="s">
        <v>24</v>
      </c>
      <c r="D85" s="2" t="s">
        <v>15</v>
      </c>
      <c r="E85" s="2" t="s">
        <v>15</v>
      </c>
      <c r="F85" s="7" t="s">
        <v>18</v>
      </c>
      <c r="G85" s="52">
        <v>0.19999999999999998</v>
      </c>
      <c r="H85" s="29">
        <v>319157</v>
      </c>
      <c r="I85" s="55">
        <f t="shared" si="4"/>
        <v>63831.399999999994</v>
      </c>
      <c r="J85" s="29"/>
      <c r="K85" s="54">
        <f t="shared" si="3"/>
        <v>0</v>
      </c>
      <c r="L85" s="15"/>
      <c r="M85" s="49"/>
      <c r="N85" s="49">
        <f t="shared" si="2"/>
        <v>0</v>
      </c>
    </row>
    <row r="86" spans="2:14" s="16" customFormat="1" ht="15.75" customHeight="1">
      <c r="B86" s="7">
        <v>2021</v>
      </c>
      <c r="C86" s="7" t="s">
        <v>24</v>
      </c>
      <c r="D86" s="2" t="s">
        <v>15</v>
      </c>
      <c r="E86" s="2" t="s">
        <v>15</v>
      </c>
      <c r="F86" s="7" t="s">
        <v>19</v>
      </c>
      <c r="G86" s="52">
        <v>0.26999999999999996</v>
      </c>
      <c r="H86" s="29">
        <v>319157</v>
      </c>
      <c r="I86" s="55">
        <f t="shared" si="4"/>
        <v>86172.389999999985</v>
      </c>
      <c r="J86" s="29"/>
      <c r="K86" s="54">
        <f t="shared" si="3"/>
        <v>0</v>
      </c>
      <c r="L86" s="15"/>
      <c r="M86" s="49"/>
      <c r="N86" s="49">
        <f t="shared" si="2"/>
        <v>0</v>
      </c>
    </row>
    <row r="87" spans="2:14" s="16" customFormat="1" ht="15.75" customHeight="1">
      <c r="B87" s="7">
        <v>2021</v>
      </c>
      <c r="C87" s="7" t="s">
        <v>24</v>
      </c>
      <c r="D87" s="2" t="s">
        <v>15</v>
      </c>
      <c r="E87" s="2" t="s">
        <v>15</v>
      </c>
      <c r="F87" s="22" t="s">
        <v>20</v>
      </c>
      <c r="G87" s="53">
        <v>1</v>
      </c>
      <c r="H87" s="29">
        <v>319157</v>
      </c>
      <c r="I87" s="55">
        <f t="shared" si="4"/>
        <v>319157</v>
      </c>
      <c r="J87" s="29">
        <v>121054</v>
      </c>
      <c r="K87" s="54">
        <f t="shared" si="3"/>
        <v>2.6364845440877627</v>
      </c>
      <c r="L87" s="15"/>
      <c r="M87" s="49"/>
      <c r="N87" s="49">
        <f t="shared" si="2"/>
        <v>0</v>
      </c>
    </row>
    <row r="88" spans="2:14" s="16" customFormat="1" ht="15.75" customHeight="1">
      <c r="B88" s="7">
        <v>2021</v>
      </c>
      <c r="C88" s="7" t="s">
        <v>25</v>
      </c>
      <c r="D88" s="2" t="s">
        <v>15</v>
      </c>
      <c r="E88" s="2" t="s">
        <v>15</v>
      </c>
      <c r="F88" s="7" t="s">
        <v>16</v>
      </c>
      <c r="G88" s="52">
        <v>0.33999999999999997</v>
      </c>
      <c r="H88" s="29">
        <v>328980</v>
      </c>
      <c r="I88" s="55">
        <f t="shared" si="4"/>
        <v>111853.19999999998</v>
      </c>
      <c r="J88" s="29"/>
      <c r="K88" s="54">
        <f t="shared" si="3"/>
        <v>0</v>
      </c>
      <c r="L88" s="15"/>
      <c r="M88" s="49"/>
      <c r="N88" s="49">
        <f t="shared" si="2"/>
        <v>0</v>
      </c>
    </row>
    <row r="89" spans="2:14" s="16" customFormat="1" ht="15.75" customHeight="1">
      <c r="B89" s="7">
        <v>2021</v>
      </c>
      <c r="C89" s="7" t="s">
        <v>25</v>
      </c>
      <c r="D89" s="2" t="s">
        <v>15</v>
      </c>
      <c r="E89" s="2" t="s">
        <v>15</v>
      </c>
      <c r="F89" s="7" t="s">
        <v>17</v>
      </c>
      <c r="G89" s="52">
        <v>0.19000031061799064</v>
      </c>
      <c r="H89" s="29">
        <v>328980</v>
      </c>
      <c r="I89" s="55">
        <f t="shared" si="4"/>
        <v>62506.302187106558</v>
      </c>
      <c r="J89" s="29"/>
      <c r="K89" s="54">
        <f t="shared" si="3"/>
        <v>0</v>
      </c>
      <c r="L89" s="15"/>
      <c r="M89" s="49"/>
      <c r="N89" s="49">
        <f t="shared" si="2"/>
        <v>0</v>
      </c>
    </row>
    <row r="90" spans="2:14" s="16" customFormat="1" ht="15.75" customHeight="1">
      <c r="B90" s="7">
        <v>2021</v>
      </c>
      <c r="C90" s="7" t="s">
        <v>25</v>
      </c>
      <c r="D90" s="2" t="s">
        <v>15</v>
      </c>
      <c r="E90" s="2" t="s">
        <v>15</v>
      </c>
      <c r="F90" s="7" t="s">
        <v>18</v>
      </c>
      <c r="G90" s="52">
        <v>0.19999999999999998</v>
      </c>
      <c r="H90" s="29">
        <v>328980</v>
      </c>
      <c r="I90" s="55">
        <f t="shared" si="4"/>
        <v>65796</v>
      </c>
      <c r="J90" s="29"/>
      <c r="K90" s="54">
        <f t="shared" si="3"/>
        <v>0</v>
      </c>
      <c r="L90" s="15"/>
      <c r="M90" s="49"/>
      <c r="N90" s="49">
        <f t="shared" si="2"/>
        <v>0</v>
      </c>
    </row>
    <row r="91" spans="2:14" s="16" customFormat="1" ht="15.75" customHeight="1">
      <c r="B91" s="7">
        <v>2021</v>
      </c>
      <c r="C91" s="7" t="s">
        <v>25</v>
      </c>
      <c r="D91" s="2" t="s">
        <v>15</v>
      </c>
      <c r="E91" s="2" t="s">
        <v>15</v>
      </c>
      <c r="F91" s="7" t="s">
        <v>19</v>
      </c>
      <c r="G91" s="52">
        <v>0.26999999999999996</v>
      </c>
      <c r="H91" s="29">
        <v>328980</v>
      </c>
      <c r="I91" s="55">
        <f t="shared" si="4"/>
        <v>88824.599999999991</v>
      </c>
      <c r="J91" s="29"/>
      <c r="K91" s="54">
        <f t="shared" si="3"/>
        <v>0</v>
      </c>
      <c r="L91" s="15"/>
      <c r="M91" s="49"/>
      <c r="N91" s="49">
        <f t="shared" si="2"/>
        <v>0</v>
      </c>
    </row>
    <row r="92" spans="2:14" s="16" customFormat="1" ht="15.75" customHeight="1">
      <c r="B92" s="7">
        <v>2021</v>
      </c>
      <c r="C92" s="7" t="s">
        <v>25</v>
      </c>
      <c r="D92" s="2" t="s">
        <v>15</v>
      </c>
      <c r="E92" s="2" t="s">
        <v>15</v>
      </c>
      <c r="F92" s="22" t="s">
        <v>20</v>
      </c>
      <c r="G92" s="53">
        <v>1</v>
      </c>
      <c r="H92" s="29">
        <v>328980</v>
      </c>
      <c r="I92" s="55">
        <f t="shared" si="4"/>
        <v>328980</v>
      </c>
      <c r="J92" s="29">
        <v>129438</v>
      </c>
      <c r="K92" s="54">
        <f t="shared" si="3"/>
        <v>2.5416029295879108</v>
      </c>
      <c r="L92" s="15"/>
      <c r="M92" s="49"/>
      <c r="N92" s="49">
        <f t="shared" si="2"/>
        <v>0</v>
      </c>
    </row>
    <row r="93" spans="2:14" s="16" customFormat="1" ht="15.75" customHeight="1">
      <c r="B93" s="7">
        <v>2021</v>
      </c>
      <c r="C93" s="7" t="s">
        <v>26</v>
      </c>
      <c r="D93" s="2" t="s">
        <v>15</v>
      </c>
      <c r="E93" s="2" t="s">
        <v>15</v>
      </c>
      <c r="F93" s="7" t="s">
        <v>16</v>
      </c>
      <c r="G93" s="52">
        <v>0.33999999999999997</v>
      </c>
      <c r="H93" s="29">
        <v>306029</v>
      </c>
      <c r="I93" s="55">
        <f t="shared" si="4"/>
        <v>104049.85999999999</v>
      </c>
      <c r="J93" s="29"/>
      <c r="K93" s="54">
        <f t="shared" si="3"/>
        <v>0</v>
      </c>
      <c r="L93" s="15"/>
      <c r="M93" s="49"/>
      <c r="N93" s="49">
        <f t="shared" si="2"/>
        <v>0</v>
      </c>
    </row>
    <row r="94" spans="2:14" s="16" customFormat="1" ht="15.75" customHeight="1">
      <c r="B94" s="7">
        <v>2021</v>
      </c>
      <c r="C94" s="7" t="s">
        <v>26</v>
      </c>
      <c r="D94" s="2" t="s">
        <v>15</v>
      </c>
      <c r="E94" s="2" t="s">
        <v>15</v>
      </c>
      <c r="F94" s="7" t="s">
        <v>17</v>
      </c>
      <c r="G94" s="52">
        <v>0.19000031061799064</v>
      </c>
      <c r="H94" s="29">
        <v>306029</v>
      </c>
      <c r="I94" s="55">
        <f t="shared" si="4"/>
        <v>58145.605058113055</v>
      </c>
      <c r="J94" s="29"/>
      <c r="K94" s="54">
        <f t="shared" si="3"/>
        <v>0</v>
      </c>
      <c r="L94" s="15"/>
      <c r="M94" s="49"/>
      <c r="N94" s="49">
        <f t="shared" si="2"/>
        <v>0</v>
      </c>
    </row>
    <row r="95" spans="2:14" s="16" customFormat="1" ht="15.75" customHeight="1">
      <c r="B95" s="7">
        <v>2021</v>
      </c>
      <c r="C95" s="7" t="s">
        <v>26</v>
      </c>
      <c r="D95" s="2" t="s">
        <v>15</v>
      </c>
      <c r="E95" s="2" t="s">
        <v>15</v>
      </c>
      <c r="F95" s="7" t="s">
        <v>18</v>
      </c>
      <c r="G95" s="52">
        <v>0.19999999999999998</v>
      </c>
      <c r="H95" s="29">
        <v>306029</v>
      </c>
      <c r="I95" s="55">
        <f t="shared" si="4"/>
        <v>61205.799999999996</v>
      </c>
      <c r="J95" s="29"/>
      <c r="K95" s="54">
        <f t="shared" si="3"/>
        <v>0</v>
      </c>
      <c r="L95" s="15"/>
      <c r="M95" s="49"/>
      <c r="N95" s="49">
        <f t="shared" si="2"/>
        <v>0</v>
      </c>
    </row>
    <row r="96" spans="2:14" s="16" customFormat="1" ht="15.75" customHeight="1">
      <c r="B96" s="7">
        <v>2021</v>
      </c>
      <c r="C96" s="7" t="s">
        <v>26</v>
      </c>
      <c r="D96" s="2" t="s">
        <v>15</v>
      </c>
      <c r="E96" s="2" t="s">
        <v>15</v>
      </c>
      <c r="F96" s="7" t="s">
        <v>19</v>
      </c>
      <c r="G96" s="52">
        <v>0.26999999999999996</v>
      </c>
      <c r="H96" s="29">
        <v>306029</v>
      </c>
      <c r="I96" s="55">
        <f t="shared" si="4"/>
        <v>82627.829999999987</v>
      </c>
      <c r="J96" s="29"/>
      <c r="K96" s="54">
        <f t="shared" si="3"/>
        <v>0</v>
      </c>
      <c r="L96" s="15"/>
      <c r="M96" s="49"/>
      <c r="N96" s="49">
        <f t="shared" si="2"/>
        <v>0</v>
      </c>
    </row>
    <row r="97" spans="2:14" s="16" customFormat="1" ht="15.75" customHeight="1">
      <c r="B97" s="7">
        <v>2021</v>
      </c>
      <c r="C97" s="7" t="s">
        <v>26</v>
      </c>
      <c r="D97" s="2" t="s">
        <v>15</v>
      </c>
      <c r="E97" s="2" t="s">
        <v>15</v>
      </c>
      <c r="F97" s="22" t="s">
        <v>20</v>
      </c>
      <c r="G97" s="53">
        <v>1</v>
      </c>
      <c r="H97" s="29">
        <v>306029</v>
      </c>
      <c r="I97" s="55">
        <f t="shared" si="4"/>
        <v>306029</v>
      </c>
      <c r="J97" s="29">
        <v>109040</v>
      </c>
      <c r="K97" s="54">
        <f t="shared" si="3"/>
        <v>2.8065755685986793</v>
      </c>
      <c r="L97" s="15"/>
      <c r="M97" s="49"/>
      <c r="N97" s="49">
        <f t="shared" ref="N97:N160" si="5">I97*M97</f>
        <v>0</v>
      </c>
    </row>
    <row r="98" spans="2:14" s="16" customFormat="1" ht="15.75" customHeight="1">
      <c r="B98" s="7">
        <v>2021</v>
      </c>
      <c r="C98" s="7" t="s">
        <v>27</v>
      </c>
      <c r="D98" s="2" t="s">
        <v>15</v>
      </c>
      <c r="E98" s="2" t="s">
        <v>15</v>
      </c>
      <c r="F98" s="7" t="s">
        <v>16</v>
      </c>
      <c r="G98" s="52">
        <v>0.33999999999999997</v>
      </c>
      <c r="H98" s="30">
        <v>129982</v>
      </c>
      <c r="I98" s="55">
        <f t="shared" si="4"/>
        <v>44193.88</v>
      </c>
      <c r="J98" s="29"/>
      <c r="K98" s="54">
        <f t="shared" si="3"/>
        <v>0</v>
      </c>
      <c r="L98" s="15"/>
      <c r="M98" s="49"/>
      <c r="N98" s="49">
        <f t="shared" si="5"/>
        <v>0</v>
      </c>
    </row>
    <row r="99" spans="2:14" s="16" customFormat="1" ht="15.75" customHeight="1">
      <c r="B99" s="7">
        <v>2021</v>
      </c>
      <c r="C99" s="7" t="s">
        <v>27</v>
      </c>
      <c r="D99" s="2" t="s">
        <v>15</v>
      </c>
      <c r="E99" s="2" t="s">
        <v>15</v>
      </c>
      <c r="F99" s="7" t="s">
        <v>17</v>
      </c>
      <c r="G99" s="52">
        <v>0.19000031061799064</v>
      </c>
      <c r="H99" s="30">
        <v>129982</v>
      </c>
      <c r="I99" s="55">
        <f t="shared" si="4"/>
        <v>24696.620374747657</v>
      </c>
      <c r="J99" s="29"/>
      <c r="K99" s="54">
        <f t="shared" si="3"/>
        <v>0</v>
      </c>
      <c r="L99" s="15"/>
      <c r="M99" s="49"/>
      <c r="N99" s="49">
        <f t="shared" si="5"/>
        <v>0</v>
      </c>
    </row>
    <row r="100" spans="2:14" s="16" customFormat="1" ht="15.75" customHeight="1">
      <c r="B100" s="7">
        <v>2021</v>
      </c>
      <c r="C100" s="7" t="s">
        <v>27</v>
      </c>
      <c r="D100" s="2" t="s">
        <v>15</v>
      </c>
      <c r="E100" s="2" t="s">
        <v>15</v>
      </c>
      <c r="F100" s="7" t="s">
        <v>18</v>
      </c>
      <c r="G100" s="52">
        <v>0.19999999999999998</v>
      </c>
      <c r="H100" s="30">
        <v>129982</v>
      </c>
      <c r="I100" s="55">
        <f t="shared" si="4"/>
        <v>25996.399999999998</v>
      </c>
      <c r="J100" s="29"/>
      <c r="K100" s="54">
        <f t="shared" si="3"/>
        <v>0</v>
      </c>
      <c r="L100" s="15"/>
      <c r="M100" s="49"/>
      <c r="N100" s="49">
        <f t="shared" si="5"/>
        <v>0</v>
      </c>
    </row>
    <row r="101" spans="2:14" s="16" customFormat="1" ht="15.75" customHeight="1">
      <c r="B101" s="7">
        <v>2021</v>
      </c>
      <c r="C101" s="7" t="s">
        <v>27</v>
      </c>
      <c r="D101" s="2" t="s">
        <v>15</v>
      </c>
      <c r="E101" s="2" t="s">
        <v>15</v>
      </c>
      <c r="F101" s="7" t="s">
        <v>19</v>
      </c>
      <c r="G101" s="52">
        <v>0.26999999999999996</v>
      </c>
      <c r="H101" s="30">
        <v>129982</v>
      </c>
      <c r="I101" s="55">
        <f t="shared" si="4"/>
        <v>35095.139999999992</v>
      </c>
      <c r="J101" s="29"/>
      <c r="K101" s="54">
        <f t="shared" si="3"/>
        <v>0</v>
      </c>
      <c r="L101" s="15"/>
      <c r="M101" s="49"/>
      <c r="N101" s="49">
        <f t="shared" si="5"/>
        <v>0</v>
      </c>
    </row>
    <row r="102" spans="2:14" s="16" customFormat="1" ht="15.75" customHeight="1">
      <c r="B102" s="7">
        <v>2021</v>
      </c>
      <c r="C102" s="7" t="s">
        <v>27</v>
      </c>
      <c r="D102" s="2" t="s">
        <v>15</v>
      </c>
      <c r="E102" s="2" t="s">
        <v>15</v>
      </c>
      <c r="F102" s="22" t="s">
        <v>20</v>
      </c>
      <c r="G102" s="53">
        <v>1</v>
      </c>
      <c r="H102" s="30">
        <v>129982</v>
      </c>
      <c r="I102" s="55">
        <f t="shared" si="4"/>
        <v>129982</v>
      </c>
      <c r="J102" s="29">
        <v>32388</v>
      </c>
      <c r="K102" s="54">
        <f t="shared" si="3"/>
        <v>4.0132765221687041</v>
      </c>
      <c r="L102" s="15"/>
      <c r="M102" s="49"/>
      <c r="N102" s="49">
        <f t="shared" si="5"/>
        <v>0</v>
      </c>
    </row>
    <row r="103" spans="2:14" s="16" customFormat="1" ht="15.75" customHeight="1">
      <c r="B103" s="7">
        <v>2021</v>
      </c>
      <c r="C103" s="7" t="s">
        <v>28</v>
      </c>
      <c r="D103" s="2" t="s">
        <v>15</v>
      </c>
      <c r="E103" s="2" t="s">
        <v>15</v>
      </c>
      <c r="F103" s="7" t="s">
        <v>16</v>
      </c>
      <c r="G103" s="52">
        <v>0.33999999999999997</v>
      </c>
      <c r="H103" s="29">
        <v>309556</v>
      </c>
      <c r="I103" s="55">
        <f t="shared" si="4"/>
        <v>105249.04</v>
      </c>
      <c r="J103" s="29"/>
      <c r="K103" s="54">
        <f t="shared" si="3"/>
        <v>0</v>
      </c>
      <c r="L103" s="15"/>
      <c r="M103" s="49"/>
      <c r="N103" s="49">
        <f t="shared" si="5"/>
        <v>0</v>
      </c>
    </row>
    <row r="104" spans="2:14" s="16" customFormat="1" ht="15.75" customHeight="1">
      <c r="B104" s="7">
        <v>2021</v>
      </c>
      <c r="C104" s="7" t="s">
        <v>28</v>
      </c>
      <c r="D104" s="2" t="s">
        <v>15</v>
      </c>
      <c r="E104" s="2" t="s">
        <v>15</v>
      </c>
      <c r="F104" s="7" t="s">
        <v>17</v>
      </c>
      <c r="G104" s="52">
        <v>0.19000031061799064</v>
      </c>
      <c r="H104" s="29">
        <v>309556</v>
      </c>
      <c r="I104" s="55">
        <f t="shared" si="4"/>
        <v>58815.736153662707</v>
      </c>
      <c r="J104" s="29"/>
      <c r="K104" s="54">
        <f t="shared" si="3"/>
        <v>0</v>
      </c>
      <c r="L104" s="15"/>
      <c r="M104" s="49"/>
      <c r="N104" s="49">
        <f t="shared" si="5"/>
        <v>0</v>
      </c>
    </row>
    <row r="105" spans="2:14" s="16" customFormat="1" ht="15.75" customHeight="1">
      <c r="B105" s="7">
        <v>2021</v>
      </c>
      <c r="C105" s="7" t="s">
        <v>28</v>
      </c>
      <c r="D105" s="2" t="s">
        <v>15</v>
      </c>
      <c r="E105" s="2" t="s">
        <v>15</v>
      </c>
      <c r="F105" s="7" t="s">
        <v>18</v>
      </c>
      <c r="G105" s="52">
        <v>0.19999999999999998</v>
      </c>
      <c r="H105" s="29">
        <v>309556</v>
      </c>
      <c r="I105" s="55">
        <f t="shared" si="4"/>
        <v>61911.199999999997</v>
      </c>
      <c r="J105" s="29"/>
      <c r="K105" s="54">
        <f t="shared" si="3"/>
        <v>0</v>
      </c>
      <c r="L105" s="15"/>
      <c r="M105" s="49"/>
      <c r="N105" s="49">
        <f t="shared" si="5"/>
        <v>0</v>
      </c>
    </row>
    <row r="106" spans="2:14" s="16" customFormat="1" ht="15.75" customHeight="1">
      <c r="B106" s="7">
        <v>2021</v>
      </c>
      <c r="C106" s="7" t="s">
        <v>28</v>
      </c>
      <c r="D106" s="2" t="s">
        <v>15</v>
      </c>
      <c r="E106" s="2" t="s">
        <v>15</v>
      </c>
      <c r="F106" s="7" t="s">
        <v>19</v>
      </c>
      <c r="G106" s="52">
        <v>0.26999999999999996</v>
      </c>
      <c r="H106" s="29">
        <v>309556</v>
      </c>
      <c r="I106" s="55">
        <f t="shared" si="4"/>
        <v>83580.12</v>
      </c>
      <c r="J106" s="29"/>
      <c r="K106" s="54">
        <f t="shared" si="3"/>
        <v>0</v>
      </c>
      <c r="L106" s="15"/>
      <c r="M106" s="49"/>
      <c r="N106" s="49">
        <f t="shared" si="5"/>
        <v>0</v>
      </c>
    </row>
    <row r="107" spans="2:14" s="16" customFormat="1" ht="15.75" customHeight="1">
      <c r="B107" s="7">
        <v>2021</v>
      </c>
      <c r="C107" s="7" t="s">
        <v>28</v>
      </c>
      <c r="D107" s="2" t="s">
        <v>15</v>
      </c>
      <c r="E107" s="2" t="s">
        <v>15</v>
      </c>
      <c r="F107" s="22" t="s">
        <v>20</v>
      </c>
      <c r="G107" s="53">
        <v>1</v>
      </c>
      <c r="H107" s="29">
        <v>309556</v>
      </c>
      <c r="I107" s="55">
        <f t="shared" si="4"/>
        <v>309556</v>
      </c>
      <c r="J107" s="29">
        <v>119271</v>
      </c>
      <c r="K107" s="54">
        <f t="shared" si="3"/>
        <v>2.5954003907068777</v>
      </c>
      <c r="L107" s="15"/>
      <c r="M107" s="49"/>
      <c r="N107" s="49">
        <f t="shared" si="5"/>
        <v>0</v>
      </c>
    </row>
    <row r="108" spans="2:14" s="16" customFormat="1" ht="15.75" customHeight="1">
      <c r="B108" s="7">
        <v>2021</v>
      </c>
      <c r="C108" s="7" t="s">
        <v>29</v>
      </c>
      <c r="D108" s="2" t="s">
        <v>15</v>
      </c>
      <c r="E108" s="2" t="s">
        <v>15</v>
      </c>
      <c r="F108" s="7" t="s">
        <v>16</v>
      </c>
      <c r="G108" s="52">
        <v>0.33999999999999997</v>
      </c>
      <c r="H108" s="29">
        <v>324383</v>
      </c>
      <c r="I108" s="55">
        <f t="shared" si="4"/>
        <v>110290.21999999999</v>
      </c>
      <c r="J108" s="29"/>
      <c r="K108" s="54">
        <f t="shared" si="3"/>
        <v>0</v>
      </c>
      <c r="L108" s="15"/>
      <c r="M108" s="49"/>
      <c r="N108" s="49">
        <f t="shared" si="5"/>
        <v>0</v>
      </c>
    </row>
    <row r="109" spans="2:14" s="16" customFormat="1" ht="15.75" customHeight="1">
      <c r="B109" s="7">
        <v>2021</v>
      </c>
      <c r="C109" s="7" t="s">
        <v>29</v>
      </c>
      <c r="D109" s="2" t="s">
        <v>15</v>
      </c>
      <c r="E109" s="2" t="s">
        <v>15</v>
      </c>
      <c r="F109" s="7" t="s">
        <v>17</v>
      </c>
      <c r="G109" s="52">
        <v>0.19000031061799064</v>
      </c>
      <c r="H109" s="29">
        <v>324383</v>
      </c>
      <c r="I109" s="55">
        <f t="shared" si="4"/>
        <v>61632.870759195655</v>
      </c>
      <c r="J109" s="29"/>
      <c r="K109" s="54">
        <f t="shared" si="3"/>
        <v>0</v>
      </c>
      <c r="L109" s="15"/>
      <c r="M109" s="49"/>
      <c r="N109" s="49">
        <f t="shared" si="5"/>
        <v>0</v>
      </c>
    </row>
    <row r="110" spans="2:14" s="16" customFormat="1" ht="15.75" customHeight="1">
      <c r="B110" s="7">
        <v>2021</v>
      </c>
      <c r="C110" s="7" t="s">
        <v>29</v>
      </c>
      <c r="D110" s="2" t="s">
        <v>15</v>
      </c>
      <c r="E110" s="2" t="s">
        <v>15</v>
      </c>
      <c r="F110" s="7" t="s">
        <v>18</v>
      </c>
      <c r="G110" s="52">
        <v>0.19999999999999998</v>
      </c>
      <c r="H110" s="29">
        <v>324383</v>
      </c>
      <c r="I110" s="55">
        <f t="shared" si="4"/>
        <v>64876.599999999991</v>
      </c>
      <c r="J110" s="29"/>
      <c r="K110" s="54">
        <f t="shared" si="3"/>
        <v>0</v>
      </c>
      <c r="L110" s="15"/>
      <c r="M110" s="49"/>
      <c r="N110" s="49">
        <f t="shared" si="5"/>
        <v>0</v>
      </c>
    </row>
    <row r="111" spans="2:14" s="16" customFormat="1" ht="15.75" customHeight="1">
      <c r="B111" s="7">
        <v>2021</v>
      </c>
      <c r="C111" s="7" t="s">
        <v>29</v>
      </c>
      <c r="D111" s="2" t="s">
        <v>15</v>
      </c>
      <c r="E111" s="2" t="s">
        <v>15</v>
      </c>
      <c r="F111" s="7" t="s">
        <v>19</v>
      </c>
      <c r="G111" s="52">
        <v>0.26999999999999996</v>
      </c>
      <c r="H111" s="29">
        <v>324383</v>
      </c>
      <c r="I111" s="55">
        <f t="shared" si="4"/>
        <v>87583.409999999989</v>
      </c>
      <c r="J111" s="29"/>
      <c r="K111" s="54">
        <f t="shared" si="3"/>
        <v>0</v>
      </c>
      <c r="L111" s="15"/>
      <c r="M111" s="49"/>
      <c r="N111" s="49">
        <f t="shared" si="5"/>
        <v>0</v>
      </c>
    </row>
    <row r="112" spans="2:14" s="16" customFormat="1" ht="15.75" customHeight="1">
      <c r="B112" s="7">
        <v>2021</v>
      </c>
      <c r="C112" s="7" t="s">
        <v>29</v>
      </c>
      <c r="D112" s="2" t="s">
        <v>15</v>
      </c>
      <c r="E112" s="2" t="s">
        <v>15</v>
      </c>
      <c r="F112" s="22" t="s">
        <v>20</v>
      </c>
      <c r="G112" s="53">
        <v>1</v>
      </c>
      <c r="H112" s="29">
        <v>324383</v>
      </c>
      <c r="I112" s="55">
        <f t="shared" si="4"/>
        <v>324383</v>
      </c>
      <c r="J112" s="29">
        <v>123828</v>
      </c>
      <c r="K112" s="54">
        <f t="shared" si="3"/>
        <v>2.6196256097167039</v>
      </c>
      <c r="L112" s="15"/>
      <c r="M112" s="49"/>
      <c r="N112" s="49">
        <f t="shared" si="5"/>
        <v>0</v>
      </c>
    </row>
    <row r="113" spans="2:14" s="16" customFormat="1" ht="15.75" customHeight="1">
      <c r="B113" s="7">
        <v>2021</v>
      </c>
      <c r="C113" s="7" t="s">
        <v>30</v>
      </c>
      <c r="D113" s="2" t="s">
        <v>15</v>
      </c>
      <c r="E113" s="2" t="s">
        <v>15</v>
      </c>
      <c r="F113" s="7" t="s">
        <v>16</v>
      </c>
      <c r="G113" s="52">
        <v>0.33999999999999997</v>
      </c>
      <c r="H113" s="29">
        <v>311176</v>
      </c>
      <c r="I113" s="55">
        <f t="shared" si="4"/>
        <v>105799.84</v>
      </c>
      <c r="J113" s="29"/>
      <c r="K113" s="54">
        <f t="shared" si="3"/>
        <v>0</v>
      </c>
      <c r="L113" s="15"/>
      <c r="M113" s="49"/>
      <c r="N113" s="49">
        <f t="shared" si="5"/>
        <v>0</v>
      </c>
    </row>
    <row r="114" spans="2:14" s="16" customFormat="1" ht="15.75" customHeight="1">
      <c r="B114" s="7">
        <v>2021</v>
      </c>
      <c r="C114" s="7" t="s">
        <v>30</v>
      </c>
      <c r="D114" s="2" t="s">
        <v>15</v>
      </c>
      <c r="E114" s="2" t="s">
        <v>15</v>
      </c>
      <c r="F114" s="7" t="s">
        <v>17</v>
      </c>
      <c r="G114" s="52">
        <v>0.19000031061799064</v>
      </c>
      <c r="H114" s="29">
        <v>311176</v>
      </c>
      <c r="I114" s="55">
        <f t="shared" si="4"/>
        <v>59123.536656863856</v>
      </c>
      <c r="J114" s="29"/>
      <c r="K114" s="54">
        <f t="shared" si="3"/>
        <v>0</v>
      </c>
      <c r="L114" s="15"/>
      <c r="M114" s="49"/>
      <c r="N114" s="49">
        <f t="shared" si="5"/>
        <v>0</v>
      </c>
    </row>
    <row r="115" spans="2:14" s="16" customFormat="1" ht="15.75" customHeight="1">
      <c r="B115" s="7">
        <v>2021</v>
      </c>
      <c r="C115" s="7" t="s">
        <v>30</v>
      </c>
      <c r="D115" s="2" t="s">
        <v>15</v>
      </c>
      <c r="E115" s="2" t="s">
        <v>15</v>
      </c>
      <c r="F115" s="7" t="s">
        <v>18</v>
      </c>
      <c r="G115" s="52">
        <v>0.19999999999999998</v>
      </c>
      <c r="H115" s="29">
        <v>311176</v>
      </c>
      <c r="I115" s="55">
        <f t="shared" si="4"/>
        <v>62235.199999999997</v>
      </c>
      <c r="J115" s="29"/>
      <c r="K115" s="54">
        <f t="shared" si="3"/>
        <v>0</v>
      </c>
      <c r="L115" s="15"/>
      <c r="M115" s="49"/>
      <c r="N115" s="49">
        <f t="shared" si="5"/>
        <v>0</v>
      </c>
    </row>
    <row r="116" spans="2:14" s="16" customFormat="1" ht="15.75" customHeight="1">
      <c r="B116" s="7">
        <v>2021</v>
      </c>
      <c r="C116" s="7" t="s">
        <v>30</v>
      </c>
      <c r="D116" s="2" t="s">
        <v>15</v>
      </c>
      <c r="E116" s="2" t="s">
        <v>15</v>
      </c>
      <c r="F116" s="7" t="s">
        <v>19</v>
      </c>
      <c r="G116" s="52">
        <v>0.26999999999999996</v>
      </c>
      <c r="H116" s="29">
        <v>311176</v>
      </c>
      <c r="I116" s="55">
        <f t="shared" si="4"/>
        <v>84017.51999999999</v>
      </c>
      <c r="J116" s="29"/>
      <c r="K116" s="54">
        <f t="shared" si="3"/>
        <v>0</v>
      </c>
      <c r="L116" s="15"/>
      <c r="M116" s="49"/>
      <c r="N116" s="49">
        <f t="shared" si="5"/>
        <v>0</v>
      </c>
    </row>
    <row r="117" spans="2:14" s="16" customFormat="1" ht="15.75" customHeight="1">
      <c r="B117" s="7">
        <v>2021</v>
      </c>
      <c r="C117" s="7" t="s">
        <v>30</v>
      </c>
      <c r="D117" s="2" t="s">
        <v>15</v>
      </c>
      <c r="E117" s="2" t="s">
        <v>15</v>
      </c>
      <c r="F117" s="22" t="s">
        <v>20</v>
      </c>
      <c r="G117" s="53">
        <v>1</v>
      </c>
      <c r="H117" s="29">
        <v>311176</v>
      </c>
      <c r="I117" s="55">
        <f t="shared" si="4"/>
        <v>311176</v>
      </c>
      <c r="J117" s="29">
        <v>124253</v>
      </c>
      <c r="K117" s="54">
        <f t="shared" si="3"/>
        <v>2.5043741398598023</v>
      </c>
      <c r="L117" s="15"/>
      <c r="M117" s="49"/>
      <c r="N117" s="49">
        <f t="shared" si="5"/>
        <v>0</v>
      </c>
    </row>
    <row r="118" spans="2:14" s="16" customFormat="1" ht="15.75" customHeight="1">
      <c r="B118" s="7">
        <v>2021</v>
      </c>
      <c r="C118" s="7" t="s">
        <v>31</v>
      </c>
      <c r="D118" s="2" t="s">
        <v>15</v>
      </c>
      <c r="E118" s="2" t="s">
        <v>15</v>
      </c>
      <c r="F118" s="7" t="s">
        <v>16</v>
      </c>
      <c r="G118" s="52">
        <v>0.33999999999999997</v>
      </c>
      <c r="H118" s="29">
        <v>341467</v>
      </c>
      <c r="I118" s="55">
        <f t="shared" si="4"/>
        <v>116098.77999999998</v>
      </c>
      <c r="J118" s="29"/>
      <c r="K118" s="54">
        <f t="shared" si="3"/>
        <v>0</v>
      </c>
      <c r="L118" s="15"/>
      <c r="M118" s="49"/>
      <c r="N118" s="49">
        <f t="shared" si="5"/>
        <v>0</v>
      </c>
    </row>
    <row r="119" spans="2:14" s="16" customFormat="1" ht="15.75" customHeight="1">
      <c r="B119" s="7">
        <v>2021</v>
      </c>
      <c r="C119" s="7" t="s">
        <v>31</v>
      </c>
      <c r="D119" s="2" t="s">
        <v>15</v>
      </c>
      <c r="E119" s="2" t="s">
        <v>15</v>
      </c>
      <c r="F119" s="7" t="s">
        <v>17</v>
      </c>
      <c r="G119" s="52">
        <v>0.19000031061799064</v>
      </c>
      <c r="H119" s="29">
        <v>341467</v>
      </c>
      <c r="I119" s="55">
        <f t="shared" si="4"/>
        <v>64878.83606579341</v>
      </c>
      <c r="J119" s="29"/>
      <c r="K119" s="54">
        <f t="shared" si="3"/>
        <v>0</v>
      </c>
      <c r="L119" s="15"/>
      <c r="M119" s="49"/>
      <c r="N119" s="49">
        <f t="shared" si="5"/>
        <v>0</v>
      </c>
    </row>
    <row r="120" spans="2:14" s="16" customFormat="1" ht="15.75" customHeight="1">
      <c r="B120" s="7">
        <v>2021</v>
      </c>
      <c r="C120" s="7" t="s">
        <v>31</v>
      </c>
      <c r="D120" s="2" t="s">
        <v>15</v>
      </c>
      <c r="E120" s="2" t="s">
        <v>15</v>
      </c>
      <c r="F120" s="7" t="s">
        <v>18</v>
      </c>
      <c r="G120" s="52">
        <v>0.19999999999999998</v>
      </c>
      <c r="H120" s="29">
        <v>341467</v>
      </c>
      <c r="I120" s="55">
        <f t="shared" si="4"/>
        <v>68293.399999999994</v>
      </c>
      <c r="J120" s="29"/>
      <c r="K120" s="54">
        <f t="shared" si="3"/>
        <v>0</v>
      </c>
      <c r="L120" s="15"/>
      <c r="M120" s="49"/>
      <c r="N120" s="49">
        <f t="shared" si="5"/>
        <v>0</v>
      </c>
    </row>
    <row r="121" spans="2:14" s="16" customFormat="1" ht="15.75" customHeight="1">
      <c r="B121" s="7">
        <v>2021</v>
      </c>
      <c r="C121" s="7" t="s">
        <v>31</v>
      </c>
      <c r="D121" s="2" t="s">
        <v>15</v>
      </c>
      <c r="E121" s="2" t="s">
        <v>15</v>
      </c>
      <c r="F121" s="7" t="s">
        <v>19</v>
      </c>
      <c r="G121" s="52">
        <v>0.26999999999999996</v>
      </c>
      <c r="H121" s="29">
        <v>341467</v>
      </c>
      <c r="I121" s="55">
        <f t="shared" si="4"/>
        <v>92196.089999999982</v>
      </c>
      <c r="J121" s="29"/>
      <c r="K121" s="54">
        <f t="shared" si="3"/>
        <v>0</v>
      </c>
      <c r="L121" s="15"/>
      <c r="M121" s="49"/>
      <c r="N121" s="49">
        <f t="shared" si="5"/>
        <v>0</v>
      </c>
    </row>
    <row r="122" spans="2:14" s="16" customFormat="1" ht="15.75" customHeight="1">
      <c r="B122" s="7">
        <v>2021</v>
      </c>
      <c r="C122" s="7" t="s">
        <v>31</v>
      </c>
      <c r="D122" s="2" t="s">
        <v>15</v>
      </c>
      <c r="E122" s="2" t="s">
        <v>15</v>
      </c>
      <c r="F122" s="22" t="s">
        <v>20</v>
      </c>
      <c r="G122" s="53">
        <v>1</v>
      </c>
      <c r="H122" s="29">
        <v>341467</v>
      </c>
      <c r="I122" s="55">
        <f t="shared" si="4"/>
        <v>341467</v>
      </c>
      <c r="J122" s="29">
        <v>127665</v>
      </c>
      <c r="K122" s="54">
        <f t="shared" si="3"/>
        <v>2.6747111581091136</v>
      </c>
      <c r="L122" s="15"/>
      <c r="M122" s="49"/>
      <c r="N122" s="49">
        <f t="shared" si="5"/>
        <v>0</v>
      </c>
    </row>
    <row r="123" spans="2:14" s="16" customFormat="1" ht="15.75" customHeight="1">
      <c r="B123" s="7">
        <v>2021</v>
      </c>
      <c r="C123" s="7" t="s">
        <v>14</v>
      </c>
      <c r="D123" s="2" t="s">
        <v>15</v>
      </c>
      <c r="E123" s="2" t="s">
        <v>15</v>
      </c>
      <c r="F123" s="7" t="s">
        <v>16</v>
      </c>
      <c r="G123" s="52">
        <v>0.33999999999999997</v>
      </c>
      <c r="H123" s="29">
        <v>261513</v>
      </c>
      <c r="I123" s="55">
        <f t="shared" si="4"/>
        <v>88914.42</v>
      </c>
      <c r="J123" s="29"/>
      <c r="K123" s="54">
        <f t="shared" si="3"/>
        <v>0</v>
      </c>
      <c r="L123" s="15"/>
      <c r="M123" s="49"/>
      <c r="N123" s="49">
        <f t="shared" si="5"/>
        <v>0</v>
      </c>
    </row>
    <row r="124" spans="2:14" s="16" customFormat="1" ht="15.75" customHeight="1">
      <c r="B124" s="7">
        <v>2021</v>
      </c>
      <c r="C124" s="7" t="s">
        <v>14</v>
      </c>
      <c r="D124" s="2" t="s">
        <v>15</v>
      </c>
      <c r="E124" s="2" t="s">
        <v>15</v>
      </c>
      <c r="F124" s="7" t="s">
        <v>17</v>
      </c>
      <c r="G124" s="52">
        <v>0.19000031061799064</v>
      </c>
      <c r="H124" s="29">
        <v>261513</v>
      </c>
      <c r="I124" s="55">
        <f t="shared" si="4"/>
        <v>49687.551230642588</v>
      </c>
      <c r="J124" s="29"/>
      <c r="K124" s="54">
        <f t="shared" si="3"/>
        <v>0</v>
      </c>
      <c r="L124" s="15"/>
      <c r="M124" s="49"/>
      <c r="N124" s="49">
        <f t="shared" si="5"/>
        <v>0</v>
      </c>
    </row>
    <row r="125" spans="2:14" s="16" customFormat="1" ht="15.75" customHeight="1">
      <c r="B125" s="7">
        <v>2021</v>
      </c>
      <c r="C125" s="7" t="s">
        <v>14</v>
      </c>
      <c r="D125" s="2" t="s">
        <v>15</v>
      </c>
      <c r="E125" s="2" t="s">
        <v>15</v>
      </c>
      <c r="F125" s="7" t="s">
        <v>18</v>
      </c>
      <c r="G125" s="52">
        <v>0.19999999999999998</v>
      </c>
      <c r="H125" s="29">
        <v>261513</v>
      </c>
      <c r="I125" s="55">
        <f t="shared" si="4"/>
        <v>52302.6</v>
      </c>
      <c r="J125" s="29"/>
      <c r="K125" s="54">
        <f t="shared" si="3"/>
        <v>0</v>
      </c>
      <c r="L125" s="15"/>
      <c r="M125" s="49"/>
      <c r="N125" s="49">
        <f t="shared" si="5"/>
        <v>0</v>
      </c>
    </row>
    <row r="126" spans="2:14" s="16" customFormat="1" ht="15.75" customHeight="1">
      <c r="B126" s="7">
        <v>2021</v>
      </c>
      <c r="C126" s="7" t="s">
        <v>14</v>
      </c>
      <c r="D126" s="2" t="s">
        <v>15</v>
      </c>
      <c r="E126" s="2" t="s">
        <v>15</v>
      </c>
      <c r="F126" s="7" t="s">
        <v>19</v>
      </c>
      <c r="G126" s="52">
        <v>0.26999999999999996</v>
      </c>
      <c r="H126" s="29">
        <v>261513</v>
      </c>
      <c r="I126" s="55">
        <f t="shared" si="4"/>
        <v>70608.509999999995</v>
      </c>
      <c r="J126" s="29"/>
      <c r="K126" s="54">
        <f t="shared" si="3"/>
        <v>0</v>
      </c>
      <c r="L126" s="15"/>
      <c r="M126" s="49"/>
      <c r="N126" s="49">
        <f t="shared" si="5"/>
        <v>0</v>
      </c>
    </row>
    <row r="127" spans="2:14" s="16" customFormat="1" ht="15.75" customHeight="1">
      <c r="B127" s="7">
        <v>2021</v>
      </c>
      <c r="C127" s="7" t="s">
        <v>14</v>
      </c>
      <c r="D127" s="2" t="s">
        <v>15</v>
      </c>
      <c r="E127" s="2" t="s">
        <v>15</v>
      </c>
      <c r="F127" s="22" t="s">
        <v>20</v>
      </c>
      <c r="G127" s="53">
        <v>1</v>
      </c>
      <c r="H127" s="29">
        <v>261513</v>
      </c>
      <c r="I127" s="55">
        <f t="shared" si="4"/>
        <v>261513</v>
      </c>
      <c r="J127" s="29">
        <v>129554</v>
      </c>
      <c r="K127" s="54">
        <f t="shared" si="3"/>
        <v>2.018563687728669</v>
      </c>
      <c r="L127" s="15"/>
      <c r="M127" s="49"/>
      <c r="N127" s="49">
        <f t="shared" si="5"/>
        <v>0</v>
      </c>
    </row>
    <row r="128" spans="2:14" s="16" customFormat="1" ht="15.75" customHeight="1">
      <c r="B128" s="7">
        <v>2021</v>
      </c>
      <c r="C128" s="7" t="s">
        <v>21</v>
      </c>
      <c r="D128" s="2" t="s">
        <v>15</v>
      </c>
      <c r="E128" s="2" t="s">
        <v>15</v>
      </c>
      <c r="F128" s="7" t="s">
        <v>16</v>
      </c>
      <c r="G128" s="52">
        <v>0.33999999999999997</v>
      </c>
      <c r="H128" s="29">
        <v>226004</v>
      </c>
      <c r="I128" s="55">
        <f t="shared" si="4"/>
        <v>76841.359999999986</v>
      </c>
      <c r="J128" s="29"/>
      <c r="K128" s="54">
        <f t="shared" si="3"/>
        <v>0</v>
      </c>
      <c r="L128" s="15"/>
      <c r="M128" s="49"/>
      <c r="N128" s="49">
        <f t="shared" si="5"/>
        <v>0</v>
      </c>
    </row>
    <row r="129" spans="2:14" s="16" customFormat="1" ht="15.75" customHeight="1">
      <c r="B129" s="7">
        <v>2021</v>
      </c>
      <c r="C129" s="7" t="s">
        <v>21</v>
      </c>
      <c r="D129" s="2" t="s">
        <v>15</v>
      </c>
      <c r="E129" s="2" t="s">
        <v>15</v>
      </c>
      <c r="F129" s="7" t="s">
        <v>17</v>
      </c>
      <c r="G129" s="52">
        <v>0.19000031061799064</v>
      </c>
      <c r="H129" s="29">
        <v>226004</v>
      </c>
      <c r="I129" s="55">
        <f t="shared" si="4"/>
        <v>42940.830200908356</v>
      </c>
      <c r="J129" s="29"/>
      <c r="K129" s="54">
        <f t="shared" si="3"/>
        <v>0</v>
      </c>
      <c r="L129" s="15"/>
      <c r="M129" s="49"/>
      <c r="N129" s="49">
        <f t="shared" si="5"/>
        <v>0</v>
      </c>
    </row>
    <row r="130" spans="2:14" s="16" customFormat="1" ht="15.75" customHeight="1">
      <c r="B130" s="7">
        <v>2021</v>
      </c>
      <c r="C130" s="7" t="s">
        <v>21</v>
      </c>
      <c r="D130" s="2" t="s">
        <v>15</v>
      </c>
      <c r="E130" s="2" t="s">
        <v>15</v>
      </c>
      <c r="F130" s="7" t="s">
        <v>18</v>
      </c>
      <c r="G130" s="52">
        <v>0.19999999999999998</v>
      </c>
      <c r="H130" s="29">
        <v>226004</v>
      </c>
      <c r="I130" s="55">
        <f t="shared" si="4"/>
        <v>45200.799999999996</v>
      </c>
      <c r="J130" s="29"/>
      <c r="K130" s="54">
        <f t="shared" si="3"/>
        <v>0</v>
      </c>
      <c r="L130" s="15"/>
      <c r="M130" s="49"/>
      <c r="N130" s="49">
        <f t="shared" si="5"/>
        <v>0</v>
      </c>
    </row>
    <row r="131" spans="2:14" s="16" customFormat="1" ht="15.75" customHeight="1">
      <c r="B131" s="7">
        <v>2021</v>
      </c>
      <c r="C131" s="7" t="s">
        <v>21</v>
      </c>
      <c r="D131" s="2" t="s">
        <v>15</v>
      </c>
      <c r="E131" s="2" t="s">
        <v>15</v>
      </c>
      <c r="F131" s="7" t="s">
        <v>19</v>
      </c>
      <c r="G131" s="52">
        <v>0.26999999999999996</v>
      </c>
      <c r="H131" s="29">
        <v>226004</v>
      </c>
      <c r="I131" s="55">
        <f t="shared" si="4"/>
        <v>61021.079999999994</v>
      </c>
      <c r="J131" s="29"/>
      <c r="K131" s="54">
        <f t="shared" si="3"/>
        <v>0</v>
      </c>
      <c r="L131" s="15"/>
      <c r="M131" s="49"/>
      <c r="N131" s="49">
        <f t="shared" si="5"/>
        <v>0</v>
      </c>
    </row>
    <row r="132" spans="2:14" s="16" customFormat="1" ht="15.75" customHeight="1">
      <c r="B132" s="7">
        <v>2021</v>
      </c>
      <c r="C132" s="7" t="s">
        <v>21</v>
      </c>
      <c r="D132" s="2" t="s">
        <v>15</v>
      </c>
      <c r="E132" s="2" t="s">
        <v>15</v>
      </c>
      <c r="F132" s="22" t="s">
        <v>20</v>
      </c>
      <c r="G132" s="53">
        <v>1</v>
      </c>
      <c r="H132" s="29">
        <v>226004</v>
      </c>
      <c r="I132" s="55">
        <f t="shared" si="4"/>
        <v>226004</v>
      </c>
      <c r="J132" s="29">
        <v>126318</v>
      </c>
      <c r="K132" s="54">
        <f t="shared" ref="K132:K195" si="6">IFERROR(I132/J132,0)</f>
        <v>1.7891670229104324</v>
      </c>
      <c r="L132" s="15"/>
      <c r="M132" s="49"/>
      <c r="N132" s="49">
        <f t="shared" si="5"/>
        <v>0</v>
      </c>
    </row>
    <row r="133" spans="2:14" s="16" customFormat="1" ht="15.75" customHeight="1">
      <c r="B133" s="7">
        <v>2021</v>
      </c>
      <c r="C133" s="7" t="s">
        <v>22</v>
      </c>
      <c r="D133" s="2" t="s">
        <v>15</v>
      </c>
      <c r="E133" s="2" t="s">
        <v>15</v>
      </c>
      <c r="F133" s="7" t="s">
        <v>16</v>
      </c>
      <c r="G133" s="52">
        <v>0.33999999999999997</v>
      </c>
      <c r="H133" s="29">
        <v>218950</v>
      </c>
      <c r="I133" s="55">
        <f t="shared" si="4"/>
        <v>74443</v>
      </c>
      <c r="J133" s="29"/>
      <c r="K133" s="54">
        <f t="shared" si="6"/>
        <v>0</v>
      </c>
      <c r="L133" s="15"/>
      <c r="M133" s="49"/>
      <c r="N133" s="49">
        <f t="shared" si="5"/>
        <v>0</v>
      </c>
    </row>
    <row r="134" spans="2:14" s="16" customFormat="1" ht="15.75" customHeight="1">
      <c r="B134" s="7">
        <v>2021</v>
      </c>
      <c r="C134" s="7" t="s">
        <v>22</v>
      </c>
      <c r="D134" s="2" t="s">
        <v>15</v>
      </c>
      <c r="E134" s="2" t="s">
        <v>15</v>
      </c>
      <c r="F134" s="7" t="s">
        <v>17</v>
      </c>
      <c r="G134" s="52">
        <v>0.19000031061799064</v>
      </c>
      <c r="H134" s="29">
        <v>218950</v>
      </c>
      <c r="I134" s="55">
        <f t="shared" ref="I134:I199" si="7">G134*H134</f>
        <v>41600.568009809052</v>
      </c>
      <c r="J134" s="29"/>
      <c r="K134" s="54">
        <f t="shared" si="6"/>
        <v>0</v>
      </c>
      <c r="L134" s="15"/>
      <c r="M134" s="49"/>
      <c r="N134" s="49">
        <f t="shared" si="5"/>
        <v>0</v>
      </c>
    </row>
    <row r="135" spans="2:14" s="16" customFormat="1" ht="15.75" customHeight="1">
      <c r="B135" s="7">
        <v>2021</v>
      </c>
      <c r="C135" s="7" t="s">
        <v>22</v>
      </c>
      <c r="D135" s="2" t="s">
        <v>15</v>
      </c>
      <c r="E135" s="2" t="s">
        <v>15</v>
      </c>
      <c r="F135" s="7" t="s">
        <v>18</v>
      </c>
      <c r="G135" s="52">
        <v>0.19999999999999998</v>
      </c>
      <c r="H135" s="29">
        <v>218950</v>
      </c>
      <c r="I135" s="55">
        <f t="shared" si="7"/>
        <v>43789.999999999993</v>
      </c>
      <c r="J135" s="29"/>
      <c r="K135" s="54">
        <f t="shared" si="6"/>
        <v>0</v>
      </c>
      <c r="L135" s="15"/>
      <c r="M135" s="49"/>
      <c r="N135" s="49">
        <f t="shared" si="5"/>
        <v>0</v>
      </c>
    </row>
    <row r="136" spans="2:14" s="16" customFormat="1" ht="15.75" customHeight="1">
      <c r="B136" s="7">
        <v>2021</v>
      </c>
      <c r="C136" s="7" t="s">
        <v>22</v>
      </c>
      <c r="D136" s="2" t="s">
        <v>15</v>
      </c>
      <c r="E136" s="2" t="s">
        <v>15</v>
      </c>
      <c r="F136" s="7" t="s">
        <v>19</v>
      </c>
      <c r="G136" s="52">
        <v>0.26999999999999996</v>
      </c>
      <c r="H136" s="29">
        <v>218950</v>
      </c>
      <c r="I136" s="55">
        <f t="shared" si="7"/>
        <v>59116.499999999993</v>
      </c>
      <c r="J136" s="29"/>
      <c r="K136" s="54">
        <f t="shared" si="6"/>
        <v>0</v>
      </c>
      <c r="L136" s="15"/>
      <c r="M136" s="49"/>
      <c r="N136" s="49">
        <f t="shared" si="5"/>
        <v>0</v>
      </c>
    </row>
    <row r="137" spans="2:14" s="16" customFormat="1" ht="15.75" customHeight="1">
      <c r="B137" s="7">
        <v>2021</v>
      </c>
      <c r="C137" s="7" t="s">
        <v>22</v>
      </c>
      <c r="D137" s="2" t="s">
        <v>15</v>
      </c>
      <c r="E137" s="2" t="s">
        <v>15</v>
      </c>
      <c r="F137" s="22" t="s">
        <v>20</v>
      </c>
      <c r="G137" s="53">
        <v>1</v>
      </c>
      <c r="H137" s="29">
        <v>218950</v>
      </c>
      <c r="I137" s="55">
        <f t="shared" si="7"/>
        <v>218950</v>
      </c>
      <c r="J137" s="29">
        <v>120844</v>
      </c>
      <c r="K137" s="54">
        <f t="shared" si="6"/>
        <v>1.8118400582569263</v>
      </c>
      <c r="L137" s="15"/>
      <c r="M137" s="49"/>
      <c r="N137" s="49">
        <f t="shared" si="5"/>
        <v>0</v>
      </c>
    </row>
    <row r="138" spans="2:14" s="16" customFormat="1" ht="15.75" customHeight="1">
      <c r="B138" s="7">
        <v>2022</v>
      </c>
      <c r="C138" s="7" t="s">
        <v>23</v>
      </c>
      <c r="D138" s="2" t="s">
        <v>15</v>
      </c>
      <c r="E138" s="2" t="s">
        <v>15</v>
      </c>
      <c r="F138" s="7" t="s">
        <v>16</v>
      </c>
      <c r="G138" s="52">
        <v>0.33999999999999997</v>
      </c>
      <c r="H138" s="29">
        <v>313916</v>
      </c>
      <c r="I138" s="55">
        <f t="shared" si="7"/>
        <v>106731.43999999999</v>
      </c>
      <c r="J138" s="29"/>
      <c r="K138" s="54">
        <f t="shared" si="6"/>
        <v>0</v>
      </c>
      <c r="L138" s="15"/>
      <c r="M138" s="49"/>
      <c r="N138" s="49">
        <f t="shared" si="5"/>
        <v>0</v>
      </c>
    </row>
    <row r="139" spans="2:14" s="16" customFormat="1" ht="15.75" customHeight="1">
      <c r="B139" s="7">
        <v>2022</v>
      </c>
      <c r="C139" s="7" t="s">
        <v>23</v>
      </c>
      <c r="D139" s="2" t="s">
        <v>15</v>
      </c>
      <c r="E139" s="2" t="s">
        <v>15</v>
      </c>
      <c r="F139" s="7" t="s">
        <v>17</v>
      </c>
      <c r="G139" s="52">
        <v>0.19000031061799064</v>
      </c>
      <c r="H139" s="29">
        <v>313916</v>
      </c>
      <c r="I139" s="55">
        <f t="shared" si="7"/>
        <v>59644.137507957152</v>
      </c>
      <c r="J139" s="29"/>
      <c r="K139" s="54">
        <f t="shared" si="6"/>
        <v>0</v>
      </c>
      <c r="L139" s="15"/>
      <c r="M139" s="49"/>
      <c r="N139" s="49">
        <f t="shared" si="5"/>
        <v>0</v>
      </c>
    </row>
    <row r="140" spans="2:14" s="16" customFormat="1" ht="15.75" customHeight="1">
      <c r="B140" s="7">
        <v>2022</v>
      </c>
      <c r="C140" s="7" t="s">
        <v>23</v>
      </c>
      <c r="D140" s="2" t="s">
        <v>15</v>
      </c>
      <c r="E140" s="2" t="s">
        <v>15</v>
      </c>
      <c r="F140" s="7" t="s">
        <v>18</v>
      </c>
      <c r="G140" s="52">
        <v>0.19999999999999998</v>
      </c>
      <c r="H140" s="29">
        <v>313916</v>
      </c>
      <c r="I140" s="55">
        <f t="shared" si="7"/>
        <v>62783.199999999997</v>
      </c>
      <c r="J140" s="29"/>
      <c r="K140" s="54">
        <f t="shared" si="6"/>
        <v>0</v>
      </c>
      <c r="L140" s="15"/>
      <c r="M140" s="49"/>
      <c r="N140" s="49">
        <f t="shared" si="5"/>
        <v>0</v>
      </c>
    </row>
    <row r="141" spans="2:14" s="16" customFormat="1" ht="15.75" customHeight="1">
      <c r="B141" s="7">
        <v>2022</v>
      </c>
      <c r="C141" s="7" t="s">
        <v>23</v>
      </c>
      <c r="D141" s="2" t="s">
        <v>15</v>
      </c>
      <c r="E141" s="2" t="s">
        <v>15</v>
      </c>
      <c r="F141" s="7" t="s">
        <v>19</v>
      </c>
      <c r="G141" s="52">
        <v>0.26999999999999996</v>
      </c>
      <c r="H141" s="29">
        <v>313916</v>
      </c>
      <c r="I141" s="55">
        <f t="shared" si="7"/>
        <v>84757.319999999992</v>
      </c>
      <c r="J141" s="29"/>
      <c r="K141" s="54">
        <f t="shared" si="6"/>
        <v>0</v>
      </c>
      <c r="L141" s="15"/>
      <c r="M141" s="49"/>
      <c r="N141" s="49">
        <f t="shared" si="5"/>
        <v>0</v>
      </c>
    </row>
    <row r="142" spans="2:14" s="16" customFormat="1" ht="15.75" customHeight="1">
      <c r="B142" s="7">
        <v>2022</v>
      </c>
      <c r="C142" s="7" t="s">
        <v>23</v>
      </c>
      <c r="D142" s="2" t="s">
        <v>15</v>
      </c>
      <c r="E142" s="2" t="s">
        <v>15</v>
      </c>
      <c r="F142" s="22" t="s">
        <v>20</v>
      </c>
      <c r="G142" s="53">
        <v>1</v>
      </c>
      <c r="H142" s="29">
        <v>313916</v>
      </c>
      <c r="I142" s="55">
        <f t="shared" si="7"/>
        <v>313916</v>
      </c>
      <c r="J142" s="29">
        <v>124216</v>
      </c>
      <c r="K142" s="54">
        <f t="shared" si="6"/>
        <v>2.5271784633219552</v>
      </c>
      <c r="L142" s="15"/>
      <c r="M142" s="49"/>
      <c r="N142" s="49">
        <f t="shared" si="5"/>
        <v>0</v>
      </c>
    </row>
    <row r="143" spans="2:14" s="16" customFormat="1" ht="15.75" customHeight="1">
      <c r="B143" s="7">
        <v>2022</v>
      </c>
      <c r="C143" s="7" t="s">
        <v>24</v>
      </c>
      <c r="D143" s="2" t="s">
        <v>15</v>
      </c>
      <c r="E143" s="2" t="s">
        <v>15</v>
      </c>
      <c r="F143" s="7" t="s">
        <v>16</v>
      </c>
      <c r="G143" s="52">
        <v>0.33999999999999997</v>
      </c>
      <c r="H143" s="29">
        <v>277865</v>
      </c>
      <c r="I143" s="55">
        <f t="shared" si="7"/>
        <v>94474.099999999991</v>
      </c>
      <c r="J143" s="29"/>
      <c r="K143" s="54">
        <f t="shared" si="6"/>
        <v>0</v>
      </c>
      <c r="L143" s="15"/>
      <c r="M143" s="49"/>
      <c r="N143" s="49">
        <f t="shared" si="5"/>
        <v>0</v>
      </c>
    </row>
    <row r="144" spans="2:14" s="16" customFormat="1" ht="15.75" customHeight="1">
      <c r="B144" s="7">
        <v>2022</v>
      </c>
      <c r="C144" s="7" t="s">
        <v>24</v>
      </c>
      <c r="D144" s="2" t="s">
        <v>15</v>
      </c>
      <c r="E144" s="2" t="s">
        <v>15</v>
      </c>
      <c r="F144" s="7" t="s">
        <v>17</v>
      </c>
      <c r="G144" s="52">
        <v>0.19000031061799064</v>
      </c>
      <c r="H144" s="29">
        <v>277865</v>
      </c>
      <c r="I144" s="55">
        <f t="shared" si="7"/>
        <v>52794.436309867968</v>
      </c>
      <c r="J144" s="29"/>
      <c r="K144" s="54">
        <f t="shared" si="6"/>
        <v>0</v>
      </c>
      <c r="L144" s="15"/>
      <c r="M144" s="49"/>
      <c r="N144" s="49">
        <f t="shared" si="5"/>
        <v>0</v>
      </c>
    </row>
    <row r="145" spans="2:14" s="16" customFormat="1" ht="15.75" customHeight="1">
      <c r="B145" s="7">
        <v>2022</v>
      </c>
      <c r="C145" s="7" t="s">
        <v>24</v>
      </c>
      <c r="D145" s="2" t="s">
        <v>15</v>
      </c>
      <c r="E145" s="2" t="s">
        <v>15</v>
      </c>
      <c r="F145" s="7" t="s">
        <v>18</v>
      </c>
      <c r="G145" s="52">
        <v>0.19999999999999998</v>
      </c>
      <c r="H145" s="29">
        <v>277865</v>
      </c>
      <c r="I145" s="55">
        <f t="shared" si="7"/>
        <v>55572.999999999993</v>
      </c>
      <c r="J145" s="29"/>
      <c r="K145" s="54">
        <f t="shared" si="6"/>
        <v>0</v>
      </c>
      <c r="L145" s="15"/>
      <c r="M145" s="49"/>
      <c r="N145" s="49">
        <f t="shared" si="5"/>
        <v>0</v>
      </c>
    </row>
    <row r="146" spans="2:14" s="16" customFormat="1" ht="15.75" customHeight="1">
      <c r="B146" s="7">
        <v>2022</v>
      </c>
      <c r="C146" s="7" t="s">
        <v>24</v>
      </c>
      <c r="D146" s="2" t="s">
        <v>15</v>
      </c>
      <c r="E146" s="2" t="s">
        <v>15</v>
      </c>
      <c r="F146" s="7" t="s">
        <v>19</v>
      </c>
      <c r="G146" s="52">
        <v>0.26999999999999996</v>
      </c>
      <c r="H146" s="29">
        <v>277865</v>
      </c>
      <c r="I146" s="55">
        <f t="shared" si="7"/>
        <v>75023.549999999988</v>
      </c>
      <c r="J146" s="29"/>
      <c r="K146" s="54">
        <f t="shared" si="6"/>
        <v>0</v>
      </c>
      <c r="L146" s="15"/>
      <c r="M146" s="49"/>
      <c r="N146" s="49">
        <f t="shared" si="5"/>
        <v>0</v>
      </c>
    </row>
    <row r="147" spans="2:14" s="16" customFormat="1" ht="15.75" customHeight="1">
      <c r="B147" s="7">
        <v>2022</v>
      </c>
      <c r="C147" s="7" t="s">
        <v>24</v>
      </c>
      <c r="D147" s="2" t="s">
        <v>15</v>
      </c>
      <c r="E147" s="2" t="s">
        <v>15</v>
      </c>
      <c r="F147" s="22" t="s">
        <v>20</v>
      </c>
      <c r="G147" s="53">
        <v>1</v>
      </c>
      <c r="H147" s="29">
        <v>277865</v>
      </c>
      <c r="I147" s="55">
        <f t="shared" si="7"/>
        <v>277865</v>
      </c>
      <c r="J147" s="29">
        <v>120494</v>
      </c>
      <c r="K147" s="54">
        <f t="shared" si="6"/>
        <v>2.3060484339469185</v>
      </c>
      <c r="L147" s="15"/>
      <c r="M147" s="49"/>
      <c r="N147" s="49">
        <f t="shared" si="5"/>
        <v>0</v>
      </c>
    </row>
    <row r="148" spans="2:14" s="16" customFormat="1" ht="15.75" customHeight="1">
      <c r="B148" s="7">
        <v>2022</v>
      </c>
      <c r="C148" s="7" t="s">
        <v>25</v>
      </c>
      <c r="D148" s="2" t="s">
        <v>15</v>
      </c>
      <c r="E148" s="2" t="s">
        <v>15</v>
      </c>
      <c r="F148" s="7" t="s">
        <v>16</v>
      </c>
      <c r="G148" s="52">
        <v>0.33999999999999997</v>
      </c>
      <c r="H148" s="29">
        <v>310659</v>
      </c>
      <c r="I148" s="55">
        <f t="shared" si="7"/>
        <v>105624.05999999998</v>
      </c>
      <c r="J148" s="29"/>
      <c r="K148" s="54">
        <f t="shared" si="6"/>
        <v>0</v>
      </c>
      <c r="L148" s="15"/>
      <c r="M148" s="49"/>
      <c r="N148" s="49">
        <f t="shared" si="5"/>
        <v>0</v>
      </c>
    </row>
    <row r="149" spans="2:14" s="16" customFormat="1" ht="15.75" customHeight="1">
      <c r="B149" s="7">
        <v>2022</v>
      </c>
      <c r="C149" s="7" t="s">
        <v>25</v>
      </c>
      <c r="D149" s="2" t="s">
        <v>15</v>
      </c>
      <c r="E149" s="2" t="s">
        <v>15</v>
      </c>
      <c r="F149" s="7" t="s">
        <v>17</v>
      </c>
      <c r="G149" s="52">
        <v>0.19000031061799064</v>
      </c>
      <c r="H149" s="29">
        <v>310659</v>
      </c>
      <c r="I149" s="55">
        <f t="shared" si="7"/>
        <v>59025.306496274352</v>
      </c>
      <c r="J149" s="29"/>
      <c r="K149" s="54">
        <f t="shared" si="6"/>
        <v>0</v>
      </c>
      <c r="L149" s="15"/>
      <c r="M149" s="49"/>
      <c r="N149" s="49">
        <f t="shared" si="5"/>
        <v>0</v>
      </c>
    </row>
    <row r="150" spans="2:14" s="16" customFormat="1" ht="15.75" customHeight="1">
      <c r="B150" s="7">
        <v>2022</v>
      </c>
      <c r="C150" s="7" t="s">
        <v>25</v>
      </c>
      <c r="D150" s="2" t="s">
        <v>15</v>
      </c>
      <c r="E150" s="2" t="s">
        <v>15</v>
      </c>
      <c r="F150" s="7" t="s">
        <v>18</v>
      </c>
      <c r="G150" s="52">
        <v>0.19999999999999998</v>
      </c>
      <c r="H150" s="29">
        <v>310659</v>
      </c>
      <c r="I150" s="55">
        <f t="shared" si="7"/>
        <v>62131.799999999996</v>
      </c>
      <c r="J150" s="29"/>
      <c r="K150" s="54">
        <f t="shared" si="6"/>
        <v>0</v>
      </c>
      <c r="L150" s="15"/>
      <c r="M150" s="49"/>
      <c r="N150" s="49">
        <f t="shared" si="5"/>
        <v>0</v>
      </c>
    </row>
    <row r="151" spans="2:14" s="16" customFormat="1" ht="15.75" customHeight="1">
      <c r="B151" s="7">
        <v>2022</v>
      </c>
      <c r="C151" s="7" t="s">
        <v>25</v>
      </c>
      <c r="D151" s="2" t="s">
        <v>15</v>
      </c>
      <c r="E151" s="2" t="s">
        <v>15</v>
      </c>
      <c r="F151" s="7" t="s">
        <v>19</v>
      </c>
      <c r="G151" s="52">
        <v>0.26999999999999996</v>
      </c>
      <c r="H151" s="29">
        <v>310659</v>
      </c>
      <c r="I151" s="55">
        <f t="shared" si="7"/>
        <v>83877.929999999993</v>
      </c>
      <c r="J151" s="29"/>
      <c r="K151" s="54">
        <f t="shared" si="6"/>
        <v>0</v>
      </c>
      <c r="L151" s="15"/>
      <c r="M151" s="49"/>
      <c r="N151" s="49">
        <f t="shared" si="5"/>
        <v>0</v>
      </c>
    </row>
    <row r="152" spans="2:14" s="16" customFormat="1" ht="15.75" customHeight="1">
      <c r="B152" s="7">
        <v>2022</v>
      </c>
      <c r="C152" s="7" t="s">
        <v>25</v>
      </c>
      <c r="D152" s="2" t="s">
        <v>15</v>
      </c>
      <c r="E152" s="2" t="s">
        <v>15</v>
      </c>
      <c r="F152" s="22" t="s">
        <v>20</v>
      </c>
      <c r="G152" s="53">
        <v>1</v>
      </c>
      <c r="H152" s="29">
        <v>310659</v>
      </c>
      <c r="I152" s="55">
        <f t="shared" si="7"/>
        <v>310659</v>
      </c>
      <c r="J152" s="29">
        <v>132086</v>
      </c>
      <c r="K152" s="54">
        <f t="shared" si="6"/>
        <v>2.3519449449601018</v>
      </c>
      <c r="L152" s="15"/>
      <c r="M152" s="49"/>
      <c r="N152" s="49">
        <f t="shared" si="5"/>
        <v>0</v>
      </c>
    </row>
    <row r="153" spans="2:14" s="16" customFormat="1" ht="15.75" customHeight="1">
      <c r="B153" s="7">
        <v>2022</v>
      </c>
      <c r="C153" s="7" t="s">
        <v>26</v>
      </c>
      <c r="D153" s="2" t="s">
        <v>15</v>
      </c>
      <c r="E153" s="2" t="s">
        <v>15</v>
      </c>
      <c r="F153" s="7" t="s">
        <v>16</v>
      </c>
      <c r="G153" s="52">
        <v>0.33999999999999997</v>
      </c>
      <c r="H153" s="29">
        <v>308667</v>
      </c>
      <c r="I153" s="55">
        <f t="shared" si="7"/>
        <v>104946.77999999998</v>
      </c>
      <c r="J153" s="29"/>
      <c r="K153" s="54">
        <f t="shared" si="6"/>
        <v>0</v>
      </c>
      <c r="L153" s="15"/>
      <c r="M153" s="49"/>
      <c r="N153" s="49">
        <f t="shared" si="5"/>
        <v>0</v>
      </c>
    </row>
    <row r="154" spans="2:14" s="16" customFormat="1" ht="15.75" customHeight="1">
      <c r="B154" s="7">
        <v>2022</v>
      </c>
      <c r="C154" s="7" t="s">
        <v>26</v>
      </c>
      <c r="D154" s="2" t="s">
        <v>15</v>
      </c>
      <c r="E154" s="2" t="s">
        <v>15</v>
      </c>
      <c r="F154" s="7" t="s">
        <v>17</v>
      </c>
      <c r="G154" s="52">
        <v>0.19000031061799064</v>
      </c>
      <c r="H154" s="29">
        <v>308667</v>
      </c>
      <c r="I154" s="55">
        <f t="shared" si="7"/>
        <v>58646.825877523319</v>
      </c>
      <c r="J154" s="29"/>
      <c r="K154" s="54">
        <f t="shared" si="6"/>
        <v>0</v>
      </c>
      <c r="L154" s="15"/>
      <c r="M154" s="49"/>
      <c r="N154" s="49">
        <f t="shared" si="5"/>
        <v>0</v>
      </c>
    </row>
    <row r="155" spans="2:14" s="16" customFormat="1" ht="15.75" customHeight="1">
      <c r="B155" s="7">
        <v>2022</v>
      </c>
      <c r="C155" s="7" t="s">
        <v>26</v>
      </c>
      <c r="D155" s="2" t="s">
        <v>15</v>
      </c>
      <c r="E155" s="2" t="s">
        <v>15</v>
      </c>
      <c r="F155" s="7" t="s">
        <v>18</v>
      </c>
      <c r="G155" s="52">
        <v>0.19999999999999998</v>
      </c>
      <c r="H155" s="29">
        <v>308667</v>
      </c>
      <c r="I155" s="55">
        <f t="shared" si="7"/>
        <v>61733.399999999994</v>
      </c>
      <c r="J155" s="29"/>
      <c r="K155" s="54">
        <f t="shared" si="6"/>
        <v>0</v>
      </c>
      <c r="L155" s="15"/>
      <c r="M155" s="49"/>
      <c r="N155" s="49">
        <f t="shared" si="5"/>
        <v>0</v>
      </c>
    </row>
    <row r="156" spans="2:14" s="16" customFormat="1" ht="15.75" customHeight="1">
      <c r="B156" s="7">
        <v>2022</v>
      </c>
      <c r="C156" s="7" t="s">
        <v>26</v>
      </c>
      <c r="D156" s="2" t="s">
        <v>15</v>
      </c>
      <c r="E156" s="2" t="s">
        <v>15</v>
      </c>
      <c r="F156" s="7" t="s">
        <v>19</v>
      </c>
      <c r="G156" s="52">
        <v>0.26999999999999996</v>
      </c>
      <c r="H156" s="29">
        <v>308667</v>
      </c>
      <c r="I156" s="55">
        <f t="shared" si="7"/>
        <v>83340.089999999982</v>
      </c>
      <c r="J156" s="29"/>
      <c r="K156" s="54">
        <f t="shared" si="6"/>
        <v>0</v>
      </c>
      <c r="L156" s="15"/>
      <c r="M156" s="49"/>
      <c r="N156" s="49">
        <f t="shared" si="5"/>
        <v>0</v>
      </c>
    </row>
    <row r="157" spans="2:14" s="16" customFormat="1" ht="15.75" customHeight="1">
      <c r="B157" s="7">
        <v>2022</v>
      </c>
      <c r="C157" s="7" t="s">
        <v>26</v>
      </c>
      <c r="D157" s="2" t="s">
        <v>15</v>
      </c>
      <c r="E157" s="2" t="s">
        <v>15</v>
      </c>
      <c r="F157" s="22" t="s">
        <v>20</v>
      </c>
      <c r="G157" s="53">
        <v>1</v>
      </c>
      <c r="H157" s="29">
        <v>308667</v>
      </c>
      <c r="I157" s="55">
        <f t="shared" si="7"/>
        <v>308667</v>
      </c>
      <c r="J157" s="29">
        <v>122526</v>
      </c>
      <c r="K157" s="54">
        <f t="shared" si="6"/>
        <v>2.5191959257626952</v>
      </c>
      <c r="L157" s="15"/>
      <c r="M157" s="49"/>
      <c r="N157" s="49">
        <f t="shared" si="5"/>
        <v>0</v>
      </c>
    </row>
    <row r="158" spans="2:14" s="16" customFormat="1" ht="15.75" customHeight="1">
      <c r="B158" s="7">
        <v>2022</v>
      </c>
      <c r="C158" s="7" t="s">
        <v>27</v>
      </c>
      <c r="D158" s="2" t="s">
        <v>15</v>
      </c>
      <c r="E158" s="2" t="s">
        <v>15</v>
      </c>
      <c r="F158" s="7" t="s">
        <v>16</v>
      </c>
      <c r="G158" s="52">
        <v>0.33999999999999997</v>
      </c>
      <c r="H158" s="29">
        <v>285436</v>
      </c>
      <c r="I158" s="55">
        <f t="shared" si="7"/>
        <v>97048.239999999991</v>
      </c>
      <c r="J158" s="29"/>
      <c r="K158" s="54">
        <f t="shared" si="6"/>
        <v>0</v>
      </c>
      <c r="L158" s="15"/>
      <c r="M158" s="49"/>
      <c r="N158" s="49">
        <f t="shared" si="5"/>
        <v>0</v>
      </c>
    </row>
    <row r="159" spans="2:14" s="16" customFormat="1" ht="15.75" customHeight="1">
      <c r="B159" s="7">
        <v>2022</v>
      </c>
      <c r="C159" s="7" t="s">
        <v>27</v>
      </c>
      <c r="D159" s="2" t="s">
        <v>15</v>
      </c>
      <c r="E159" s="2" t="s">
        <v>15</v>
      </c>
      <c r="F159" s="7" t="s">
        <v>17</v>
      </c>
      <c r="G159" s="52">
        <v>0.19000031061799064</v>
      </c>
      <c r="H159" s="29">
        <v>285436</v>
      </c>
      <c r="I159" s="55">
        <f t="shared" si="7"/>
        <v>54232.928661556776</v>
      </c>
      <c r="J159" s="29"/>
      <c r="K159" s="54">
        <f t="shared" si="6"/>
        <v>0</v>
      </c>
      <c r="L159" s="15"/>
      <c r="M159" s="49"/>
      <c r="N159" s="49">
        <f t="shared" si="5"/>
        <v>0</v>
      </c>
    </row>
    <row r="160" spans="2:14" s="16" customFormat="1" ht="15.75" customHeight="1">
      <c r="B160" s="7">
        <v>2022</v>
      </c>
      <c r="C160" s="7" t="s">
        <v>27</v>
      </c>
      <c r="D160" s="2" t="s">
        <v>15</v>
      </c>
      <c r="E160" s="2" t="s">
        <v>15</v>
      </c>
      <c r="F160" s="7" t="s">
        <v>18</v>
      </c>
      <c r="G160" s="52">
        <v>0.19999999999999998</v>
      </c>
      <c r="H160" s="29">
        <v>285436</v>
      </c>
      <c r="I160" s="55">
        <f t="shared" si="7"/>
        <v>57087.199999999997</v>
      </c>
      <c r="J160" s="29"/>
      <c r="K160" s="54">
        <f t="shared" si="6"/>
        <v>0</v>
      </c>
      <c r="L160" s="15"/>
      <c r="M160" s="49"/>
      <c r="N160" s="49">
        <f t="shared" si="5"/>
        <v>0</v>
      </c>
    </row>
    <row r="161" spans="2:14" s="16" customFormat="1" ht="15.75" customHeight="1">
      <c r="B161" s="7">
        <v>2022</v>
      </c>
      <c r="C161" s="7" t="s">
        <v>27</v>
      </c>
      <c r="D161" s="2" t="s">
        <v>15</v>
      </c>
      <c r="E161" s="2" t="s">
        <v>15</v>
      </c>
      <c r="F161" s="7" t="s">
        <v>19</v>
      </c>
      <c r="G161" s="52">
        <v>0.26999999999999996</v>
      </c>
      <c r="H161" s="29">
        <v>285436</v>
      </c>
      <c r="I161" s="55">
        <f t="shared" si="7"/>
        <v>77067.719999999987</v>
      </c>
      <c r="J161" s="29"/>
      <c r="K161" s="54">
        <f t="shared" si="6"/>
        <v>0</v>
      </c>
      <c r="L161" s="15"/>
      <c r="M161" s="49"/>
      <c r="N161" s="49">
        <f t="shared" ref="N161:N224" si="8">I161*M161</f>
        <v>0</v>
      </c>
    </row>
    <row r="162" spans="2:14" s="16" customFormat="1" ht="15.75" customHeight="1">
      <c r="B162" s="7">
        <v>2022</v>
      </c>
      <c r="C162" s="7" t="s">
        <v>27</v>
      </c>
      <c r="D162" s="2" t="s">
        <v>15</v>
      </c>
      <c r="E162" s="2" t="s">
        <v>15</v>
      </c>
      <c r="F162" s="22" t="s">
        <v>20</v>
      </c>
      <c r="G162" s="53">
        <v>1</v>
      </c>
      <c r="H162" s="29">
        <v>285436</v>
      </c>
      <c r="I162" s="55">
        <f t="shared" si="7"/>
        <v>285436</v>
      </c>
      <c r="J162" s="29">
        <v>124946</v>
      </c>
      <c r="K162" s="54">
        <f t="shared" si="6"/>
        <v>2.2844748931538423</v>
      </c>
      <c r="L162" s="15"/>
      <c r="M162" s="49"/>
      <c r="N162" s="49">
        <f t="shared" si="8"/>
        <v>0</v>
      </c>
    </row>
    <row r="163" spans="2:14" s="16" customFormat="1" ht="15.75" customHeight="1">
      <c r="B163" s="7">
        <v>2022</v>
      </c>
      <c r="C163" s="7" t="s">
        <v>28</v>
      </c>
      <c r="D163" s="2" t="s">
        <v>15</v>
      </c>
      <c r="E163" s="2" t="s">
        <v>15</v>
      </c>
      <c r="F163" s="7" t="s">
        <v>16</v>
      </c>
      <c r="G163" s="52">
        <v>0.33999999999999997</v>
      </c>
      <c r="H163" s="29">
        <v>286108</v>
      </c>
      <c r="I163" s="55">
        <f t="shared" si="7"/>
        <v>97276.719999999987</v>
      </c>
      <c r="J163" s="29"/>
      <c r="K163" s="54">
        <f t="shared" si="6"/>
        <v>0</v>
      </c>
      <c r="L163" s="15"/>
      <c r="M163" s="49"/>
      <c r="N163" s="49">
        <f t="shared" si="8"/>
        <v>0</v>
      </c>
    </row>
    <row r="164" spans="2:14" s="16" customFormat="1" ht="15.75" customHeight="1">
      <c r="B164" s="7">
        <v>2022</v>
      </c>
      <c r="C164" s="7" t="s">
        <v>28</v>
      </c>
      <c r="D164" s="2" t="s">
        <v>15</v>
      </c>
      <c r="E164" s="2" t="s">
        <v>15</v>
      </c>
      <c r="F164" s="7" t="s">
        <v>17</v>
      </c>
      <c r="G164" s="52">
        <v>0.19000031061799064</v>
      </c>
      <c r="H164" s="29">
        <v>286108</v>
      </c>
      <c r="I164" s="55">
        <f t="shared" si="7"/>
        <v>54360.608870292068</v>
      </c>
      <c r="J164" s="29"/>
      <c r="K164" s="54">
        <f t="shared" si="6"/>
        <v>0</v>
      </c>
      <c r="L164" s="15"/>
      <c r="M164" s="49"/>
      <c r="N164" s="49">
        <f t="shared" si="8"/>
        <v>0</v>
      </c>
    </row>
    <row r="165" spans="2:14" s="16" customFormat="1" ht="15.75" customHeight="1">
      <c r="B165" s="7">
        <v>2022</v>
      </c>
      <c r="C165" s="7" t="s">
        <v>28</v>
      </c>
      <c r="D165" s="2" t="s">
        <v>15</v>
      </c>
      <c r="E165" s="2" t="s">
        <v>15</v>
      </c>
      <c r="F165" s="7" t="s">
        <v>18</v>
      </c>
      <c r="G165" s="52">
        <v>0.19999999999999998</v>
      </c>
      <c r="H165" s="29">
        <v>286108</v>
      </c>
      <c r="I165" s="55">
        <f t="shared" si="7"/>
        <v>57221.599999999999</v>
      </c>
      <c r="J165" s="29"/>
      <c r="K165" s="54">
        <f t="shared" si="6"/>
        <v>0</v>
      </c>
      <c r="L165" s="15"/>
      <c r="M165" s="49"/>
      <c r="N165" s="49">
        <f t="shared" si="8"/>
        <v>0</v>
      </c>
    </row>
    <row r="166" spans="2:14" s="16" customFormat="1" ht="15.75" customHeight="1">
      <c r="B166" s="7">
        <v>2022</v>
      </c>
      <c r="C166" s="7" t="s">
        <v>28</v>
      </c>
      <c r="D166" s="2" t="s">
        <v>15</v>
      </c>
      <c r="E166" s="2" t="s">
        <v>15</v>
      </c>
      <c r="F166" s="7" t="s">
        <v>19</v>
      </c>
      <c r="G166" s="52">
        <v>0.26999999999999996</v>
      </c>
      <c r="H166" s="29">
        <v>286108</v>
      </c>
      <c r="I166" s="55">
        <f t="shared" si="7"/>
        <v>77249.159999999989</v>
      </c>
      <c r="J166" s="29"/>
      <c r="K166" s="54">
        <f t="shared" si="6"/>
        <v>0</v>
      </c>
      <c r="L166" s="15"/>
      <c r="M166" s="49"/>
      <c r="N166" s="49">
        <f t="shared" si="8"/>
        <v>0</v>
      </c>
    </row>
    <row r="167" spans="2:14" s="16" customFormat="1" ht="15.75" customHeight="1">
      <c r="B167" s="7">
        <v>2022</v>
      </c>
      <c r="C167" s="7" t="s">
        <v>28</v>
      </c>
      <c r="D167" s="2" t="s">
        <v>15</v>
      </c>
      <c r="E167" s="2" t="s">
        <v>15</v>
      </c>
      <c r="F167" s="22" t="s">
        <v>20</v>
      </c>
      <c r="G167" s="53">
        <v>1</v>
      </c>
      <c r="H167" s="29">
        <v>286108</v>
      </c>
      <c r="I167" s="55">
        <f t="shared" si="7"/>
        <v>286108</v>
      </c>
      <c r="J167" s="29">
        <v>125097</v>
      </c>
      <c r="K167" s="54">
        <f t="shared" si="6"/>
        <v>2.2870892187662375</v>
      </c>
      <c r="L167" s="15"/>
      <c r="M167" s="49"/>
      <c r="N167" s="49">
        <f t="shared" si="8"/>
        <v>0</v>
      </c>
    </row>
    <row r="168" spans="2:14" s="16" customFormat="1" ht="15.75" customHeight="1">
      <c r="B168" s="7">
        <v>2022</v>
      </c>
      <c r="C168" s="7" t="s">
        <v>29</v>
      </c>
      <c r="D168" s="2" t="s">
        <v>15</v>
      </c>
      <c r="E168" s="2" t="s">
        <v>15</v>
      </c>
      <c r="F168" s="7" t="s">
        <v>16</v>
      </c>
      <c r="G168" s="52">
        <v>0.33999999999999997</v>
      </c>
      <c r="H168" s="29">
        <v>322094</v>
      </c>
      <c r="I168" s="55">
        <f t="shared" si="7"/>
        <v>109511.95999999999</v>
      </c>
      <c r="J168" s="29"/>
      <c r="K168" s="54">
        <f t="shared" si="6"/>
        <v>0</v>
      </c>
      <c r="L168" s="15"/>
      <c r="M168" s="49"/>
      <c r="N168" s="49">
        <f t="shared" si="8"/>
        <v>0</v>
      </c>
    </row>
    <row r="169" spans="2:14" s="16" customFormat="1" ht="15.75" customHeight="1">
      <c r="B169" s="7">
        <v>2022</v>
      </c>
      <c r="C169" s="7" t="s">
        <v>29</v>
      </c>
      <c r="D169" s="2" t="s">
        <v>15</v>
      </c>
      <c r="E169" s="2" t="s">
        <v>15</v>
      </c>
      <c r="F169" s="7" t="s">
        <v>17</v>
      </c>
      <c r="G169" s="52">
        <v>0.19000031061799064</v>
      </c>
      <c r="H169" s="29">
        <v>322094</v>
      </c>
      <c r="I169" s="55">
        <f t="shared" si="7"/>
        <v>61197.960048191075</v>
      </c>
      <c r="J169" s="29"/>
      <c r="K169" s="54">
        <f t="shared" si="6"/>
        <v>0</v>
      </c>
      <c r="L169" s="15"/>
      <c r="M169" s="49"/>
      <c r="N169" s="49">
        <f t="shared" si="8"/>
        <v>0</v>
      </c>
    </row>
    <row r="170" spans="2:14" s="16" customFormat="1" ht="15.75" customHeight="1">
      <c r="B170" s="7">
        <v>2022</v>
      </c>
      <c r="C170" s="7" t="s">
        <v>29</v>
      </c>
      <c r="D170" s="2" t="s">
        <v>15</v>
      </c>
      <c r="E170" s="2" t="s">
        <v>15</v>
      </c>
      <c r="F170" s="7" t="s">
        <v>18</v>
      </c>
      <c r="G170" s="52">
        <v>0.19999999999999998</v>
      </c>
      <c r="H170" s="29">
        <v>322094</v>
      </c>
      <c r="I170" s="55">
        <f t="shared" si="7"/>
        <v>64418.799999999996</v>
      </c>
      <c r="J170" s="29"/>
      <c r="K170" s="54">
        <f t="shared" si="6"/>
        <v>0</v>
      </c>
      <c r="L170" s="15"/>
      <c r="M170" s="49"/>
      <c r="N170" s="49">
        <f t="shared" si="8"/>
        <v>0</v>
      </c>
    </row>
    <row r="171" spans="2:14" s="16" customFormat="1" ht="15.75" customHeight="1">
      <c r="B171" s="7">
        <v>2022</v>
      </c>
      <c r="C171" s="7" t="s">
        <v>29</v>
      </c>
      <c r="D171" s="2" t="s">
        <v>15</v>
      </c>
      <c r="E171" s="2" t="s">
        <v>15</v>
      </c>
      <c r="F171" s="7" t="s">
        <v>19</v>
      </c>
      <c r="G171" s="52">
        <v>0.26999999999999996</v>
      </c>
      <c r="H171" s="29">
        <v>322094</v>
      </c>
      <c r="I171" s="55">
        <f t="shared" si="7"/>
        <v>86965.37999999999</v>
      </c>
      <c r="J171" s="29"/>
      <c r="K171" s="54">
        <f t="shared" si="6"/>
        <v>0</v>
      </c>
      <c r="L171" s="15"/>
      <c r="M171" s="49"/>
      <c r="N171" s="49">
        <f t="shared" si="8"/>
        <v>0</v>
      </c>
    </row>
    <row r="172" spans="2:14" s="16" customFormat="1" ht="15.75" customHeight="1">
      <c r="B172" s="7">
        <v>2022</v>
      </c>
      <c r="C172" s="7" t="s">
        <v>29</v>
      </c>
      <c r="D172" s="2" t="s">
        <v>15</v>
      </c>
      <c r="E172" s="2" t="s">
        <v>15</v>
      </c>
      <c r="F172" s="22" t="s">
        <v>20</v>
      </c>
      <c r="G172" s="53">
        <v>1</v>
      </c>
      <c r="H172" s="29">
        <v>322094</v>
      </c>
      <c r="I172" s="55">
        <f t="shared" si="7"/>
        <v>322094</v>
      </c>
      <c r="J172" s="29">
        <v>131872</v>
      </c>
      <c r="K172" s="54">
        <f t="shared" si="6"/>
        <v>2.4424745207473912</v>
      </c>
      <c r="L172" s="15"/>
      <c r="M172" s="49"/>
      <c r="N172" s="49">
        <f t="shared" si="8"/>
        <v>0</v>
      </c>
    </row>
    <row r="173" spans="2:14" s="16" customFormat="1" ht="15.75" customHeight="1">
      <c r="B173" s="7">
        <v>2022</v>
      </c>
      <c r="C173" s="7" t="s">
        <v>30</v>
      </c>
      <c r="D173" s="2" t="s">
        <v>15</v>
      </c>
      <c r="E173" s="2" t="s">
        <v>15</v>
      </c>
      <c r="F173" s="7" t="s">
        <v>16</v>
      </c>
      <c r="G173" s="52">
        <v>0.33999999999999997</v>
      </c>
      <c r="H173" s="29">
        <v>328136</v>
      </c>
      <c r="I173" s="55">
        <f t="shared" si="7"/>
        <v>111566.23999999999</v>
      </c>
      <c r="J173" s="29"/>
      <c r="K173" s="54">
        <f t="shared" si="6"/>
        <v>0</v>
      </c>
      <c r="L173" s="15"/>
      <c r="M173" s="49"/>
      <c r="N173" s="49">
        <f t="shared" si="8"/>
        <v>0</v>
      </c>
    </row>
    <row r="174" spans="2:14" s="16" customFormat="1" ht="15.75" customHeight="1">
      <c r="B174" s="7">
        <v>2022</v>
      </c>
      <c r="C174" s="7" t="s">
        <v>30</v>
      </c>
      <c r="D174" s="2" t="s">
        <v>15</v>
      </c>
      <c r="E174" s="2" t="s">
        <v>15</v>
      </c>
      <c r="F174" s="7" t="s">
        <v>17</v>
      </c>
      <c r="G174" s="52">
        <v>0.19000031061799064</v>
      </c>
      <c r="H174" s="29">
        <v>328136</v>
      </c>
      <c r="I174" s="55">
        <f t="shared" si="7"/>
        <v>62345.941924944978</v>
      </c>
      <c r="J174" s="29"/>
      <c r="K174" s="54">
        <f t="shared" si="6"/>
        <v>0</v>
      </c>
      <c r="L174" s="15"/>
      <c r="M174" s="49"/>
      <c r="N174" s="49">
        <f t="shared" si="8"/>
        <v>0</v>
      </c>
    </row>
    <row r="175" spans="2:14" s="16" customFormat="1" ht="15.75" customHeight="1">
      <c r="B175" s="7">
        <v>2022</v>
      </c>
      <c r="C175" s="7" t="s">
        <v>30</v>
      </c>
      <c r="D175" s="2" t="s">
        <v>15</v>
      </c>
      <c r="E175" s="2" t="s">
        <v>15</v>
      </c>
      <c r="F175" s="7" t="s">
        <v>18</v>
      </c>
      <c r="G175" s="52">
        <v>0.19999999999999998</v>
      </c>
      <c r="H175" s="29">
        <v>328136</v>
      </c>
      <c r="I175" s="55">
        <f t="shared" si="7"/>
        <v>65627.199999999997</v>
      </c>
      <c r="J175" s="29"/>
      <c r="K175" s="54">
        <f t="shared" si="6"/>
        <v>0</v>
      </c>
      <c r="L175" s="15"/>
      <c r="M175" s="49"/>
      <c r="N175" s="49">
        <f t="shared" si="8"/>
        <v>0</v>
      </c>
    </row>
    <row r="176" spans="2:14" s="16" customFormat="1" ht="15.75" customHeight="1">
      <c r="B176" s="7">
        <v>2022</v>
      </c>
      <c r="C176" s="7" t="s">
        <v>30</v>
      </c>
      <c r="D176" s="2" t="s">
        <v>15</v>
      </c>
      <c r="E176" s="2" t="s">
        <v>15</v>
      </c>
      <c r="F176" s="7" t="s">
        <v>19</v>
      </c>
      <c r="G176" s="52">
        <v>0.26999999999999996</v>
      </c>
      <c r="H176" s="29">
        <v>328136</v>
      </c>
      <c r="I176" s="55">
        <f t="shared" si="7"/>
        <v>88596.719999999987</v>
      </c>
      <c r="J176" s="29"/>
      <c r="K176" s="54">
        <f t="shared" si="6"/>
        <v>0</v>
      </c>
      <c r="L176" s="15"/>
      <c r="M176" s="49"/>
      <c r="N176" s="49">
        <f t="shared" si="8"/>
        <v>0</v>
      </c>
    </row>
    <row r="177" spans="2:14" s="16" customFormat="1" ht="15.75" customHeight="1">
      <c r="B177" s="7">
        <v>2022</v>
      </c>
      <c r="C177" s="7" t="s">
        <v>30</v>
      </c>
      <c r="D177" s="2" t="s">
        <v>15</v>
      </c>
      <c r="E177" s="2" t="s">
        <v>15</v>
      </c>
      <c r="F177" s="22" t="s">
        <v>20</v>
      </c>
      <c r="G177" s="53">
        <v>1</v>
      </c>
      <c r="H177" s="29">
        <v>328136</v>
      </c>
      <c r="I177" s="55">
        <f t="shared" si="7"/>
        <v>328136</v>
      </c>
      <c r="J177" s="29">
        <v>120387</v>
      </c>
      <c r="K177" s="54">
        <f t="shared" si="6"/>
        <v>2.7256763604043628</v>
      </c>
      <c r="L177" s="15"/>
      <c r="M177" s="49"/>
      <c r="N177" s="49">
        <f t="shared" si="8"/>
        <v>0</v>
      </c>
    </row>
    <row r="178" spans="2:14" s="16" customFormat="1" ht="15.75" customHeight="1">
      <c r="B178" s="7">
        <v>2022</v>
      </c>
      <c r="C178" s="7" t="s">
        <v>31</v>
      </c>
      <c r="D178" s="2" t="s">
        <v>15</v>
      </c>
      <c r="E178" s="2" t="s">
        <v>15</v>
      </c>
      <c r="F178" s="7" t="s">
        <v>16</v>
      </c>
      <c r="G178" s="52">
        <v>0.33999999999999997</v>
      </c>
      <c r="H178" s="29">
        <v>305208</v>
      </c>
      <c r="I178" s="55">
        <f t="shared" si="7"/>
        <v>103770.71999999999</v>
      </c>
      <c r="J178" s="29"/>
      <c r="K178" s="54">
        <f t="shared" si="6"/>
        <v>0</v>
      </c>
      <c r="L178" s="15"/>
      <c r="M178" s="49"/>
      <c r="N178" s="49">
        <f t="shared" si="8"/>
        <v>0</v>
      </c>
    </row>
    <row r="179" spans="2:14" s="16" customFormat="1" ht="15.75" customHeight="1">
      <c r="B179" s="7">
        <v>2022</v>
      </c>
      <c r="C179" s="7" t="s">
        <v>31</v>
      </c>
      <c r="D179" s="2" t="s">
        <v>15</v>
      </c>
      <c r="E179" s="2" t="s">
        <v>15</v>
      </c>
      <c r="F179" s="7" t="s">
        <v>17</v>
      </c>
      <c r="G179" s="52">
        <v>0.19000031061799064</v>
      </c>
      <c r="H179" s="29">
        <v>305208</v>
      </c>
      <c r="I179" s="55">
        <f t="shared" si="7"/>
        <v>57989.614803095683</v>
      </c>
      <c r="J179" s="29"/>
      <c r="K179" s="54">
        <f t="shared" si="6"/>
        <v>0</v>
      </c>
      <c r="L179" s="15"/>
      <c r="M179" s="49"/>
      <c r="N179" s="49">
        <f t="shared" si="8"/>
        <v>0</v>
      </c>
    </row>
    <row r="180" spans="2:14" s="16" customFormat="1" ht="15.75" customHeight="1">
      <c r="B180" s="7">
        <v>2022</v>
      </c>
      <c r="C180" s="7" t="s">
        <v>31</v>
      </c>
      <c r="D180" s="2" t="s">
        <v>15</v>
      </c>
      <c r="E180" s="2" t="s">
        <v>15</v>
      </c>
      <c r="F180" s="7" t="s">
        <v>18</v>
      </c>
      <c r="G180" s="52">
        <v>0.19999999999999998</v>
      </c>
      <c r="H180" s="29">
        <v>305208</v>
      </c>
      <c r="I180" s="55">
        <f t="shared" si="7"/>
        <v>61041.599999999999</v>
      </c>
      <c r="J180" s="29"/>
      <c r="K180" s="54">
        <f t="shared" si="6"/>
        <v>0</v>
      </c>
      <c r="L180" s="15"/>
      <c r="M180" s="49"/>
      <c r="N180" s="49">
        <f t="shared" si="8"/>
        <v>0</v>
      </c>
    </row>
    <row r="181" spans="2:14" s="16" customFormat="1" ht="15.75" customHeight="1">
      <c r="B181" s="7">
        <v>2022</v>
      </c>
      <c r="C181" s="7" t="s">
        <v>31</v>
      </c>
      <c r="D181" s="2" t="s">
        <v>15</v>
      </c>
      <c r="E181" s="2" t="s">
        <v>15</v>
      </c>
      <c r="F181" s="7" t="s">
        <v>19</v>
      </c>
      <c r="G181" s="52">
        <v>0.26999999999999996</v>
      </c>
      <c r="H181" s="29">
        <v>305208</v>
      </c>
      <c r="I181" s="55">
        <f t="shared" si="7"/>
        <v>82406.159999999989</v>
      </c>
      <c r="J181" s="29"/>
      <c r="K181" s="54">
        <f t="shared" si="6"/>
        <v>0</v>
      </c>
      <c r="L181" s="15"/>
      <c r="M181" s="49"/>
      <c r="N181" s="49">
        <f t="shared" si="8"/>
        <v>0</v>
      </c>
    </row>
    <row r="182" spans="2:14" s="16" customFormat="1" ht="15.75" customHeight="1">
      <c r="B182" s="7">
        <v>2022</v>
      </c>
      <c r="C182" s="7" t="s">
        <v>31</v>
      </c>
      <c r="D182" s="2" t="s">
        <v>15</v>
      </c>
      <c r="E182" s="2" t="s">
        <v>15</v>
      </c>
      <c r="F182" s="22" t="s">
        <v>20</v>
      </c>
      <c r="G182" s="53">
        <v>1</v>
      </c>
      <c r="H182" s="29">
        <v>305208</v>
      </c>
      <c r="I182" s="55">
        <f t="shared" si="7"/>
        <v>305208</v>
      </c>
      <c r="J182" s="29">
        <v>109300</v>
      </c>
      <c r="K182" s="54">
        <f t="shared" si="6"/>
        <v>2.792387923147301</v>
      </c>
      <c r="L182" s="15"/>
      <c r="M182" s="49"/>
      <c r="N182" s="49">
        <f t="shared" si="8"/>
        <v>0</v>
      </c>
    </row>
    <row r="183" spans="2:14" s="16" customFormat="1" ht="15.75" customHeight="1">
      <c r="B183" s="7">
        <v>2022</v>
      </c>
      <c r="C183" s="7" t="s">
        <v>14</v>
      </c>
      <c r="D183" s="2" t="s">
        <v>15</v>
      </c>
      <c r="E183" s="2" t="s">
        <v>15</v>
      </c>
      <c r="F183" s="7" t="s">
        <v>16</v>
      </c>
      <c r="G183" s="52">
        <v>0.33999999999999997</v>
      </c>
      <c r="H183" s="29">
        <v>294197</v>
      </c>
      <c r="I183" s="55">
        <f t="shared" si="7"/>
        <v>100026.98</v>
      </c>
      <c r="J183" s="29"/>
      <c r="K183" s="54">
        <f t="shared" si="6"/>
        <v>0</v>
      </c>
      <c r="L183" s="15"/>
      <c r="M183" s="49"/>
      <c r="N183" s="49">
        <f t="shared" si="8"/>
        <v>0</v>
      </c>
    </row>
    <row r="184" spans="2:14" s="16" customFormat="1" ht="15.75" customHeight="1">
      <c r="B184" s="7">
        <v>2022</v>
      </c>
      <c r="C184" s="7" t="s">
        <v>14</v>
      </c>
      <c r="D184" s="2" t="s">
        <v>15</v>
      </c>
      <c r="E184" s="2" t="s">
        <v>15</v>
      </c>
      <c r="F184" s="7" t="s">
        <v>17</v>
      </c>
      <c r="G184" s="52">
        <v>0.19000031061799064</v>
      </c>
      <c r="H184" s="29">
        <v>294197</v>
      </c>
      <c r="I184" s="55">
        <f t="shared" si="7"/>
        <v>55897.521382880994</v>
      </c>
      <c r="J184" s="29"/>
      <c r="K184" s="54">
        <f t="shared" si="6"/>
        <v>0</v>
      </c>
      <c r="L184" s="15"/>
      <c r="M184" s="49"/>
      <c r="N184" s="49">
        <f t="shared" si="8"/>
        <v>0</v>
      </c>
    </row>
    <row r="185" spans="2:14" s="16" customFormat="1" ht="15.75" customHeight="1">
      <c r="B185" s="7">
        <v>2022</v>
      </c>
      <c r="C185" s="7" t="s">
        <v>14</v>
      </c>
      <c r="D185" s="2" t="s">
        <v>15</v>
      </c>
      <c r="E185" s="2" t="s">
        <v>15</v>
      </c>
      <c r="F185" s="7" t="s">
        <v>18</v>
      </c>
      <c r="G185" s="52">
        <v>0.19999999999999998</v>
      </c>
      <c r="H185" s="29">
        <v>294197</v>
      </c>
      <c r="I185" s="55">
        <f t="shared" si="7"/>
        <v>58839.399999999994</v>
      </c>
      <c r="J185" s="29"/>
      <c r="K185" s="54">
        <f t="shared" si="6"/>
        <v>0</v>
      </c>
      <c r="L185" s="15"/>
      <c r="M185" s="49"/>
      <c r="N185" s="49">
        <f t="shared" si="8"/>
        <v>0</v>
      </c>
    </row>
    <row r="186" spans="2:14" s="16" customFormat="1" ht="15.75" customHeight="1">
      <c r="B186" s="7">
        <v>2022</v>
      </c>
      <c r="C186" s="7" t="s">
        <v>14</v>
      </c>
      <c r="D186" s="2" t="s">
        <v>15</v>
      </c>
      <c r="E186" s="2" t="s">
        <v>15</v>
      </c>
      <c r="F186" s="7" t="s">
        <v>19</v>
      </c>
      <c r="G186" s="52">
        <v>0.26999999999999996</v>
      </c>
      <c r="H186" s="29">
        <v>294197</v>
      </c>
      <c r="I186" s="55">
        <f t="shared" si="7"/>
        <v>79433.189999999988</v>
      </c>
      <c r="J186" s="29"/>
      <c r="K186" s="54">
        <f t="shared" si="6"/>
        <v>0</v>
      </c>
      <c r="L186" s="15"/>
      <c r="M186" s="49"/>
      <c r="N186" s="49">
        <f t="shared" si="8"/>
        <v>0</v>
      </c>
    </row>
    <row r="187" spans="2:14" s="16" customFormat="1" ht="15.75" customHeight="1">
      <c r="B187" s="7">
        <v>2022</v>
      </c>
      <c r="C187" s="7" t="s">
        <v>14</v>
      </c>
      <c r="D187" s="2" t="s">
        <v>15</v>
      </c>
      <c r="E187" s="2" t="s">
        <v>15</v>
      </c>
      <c r="F187" s="22" t="s">
        <v>20</v>
      </c>
      <c r="G187" s="53">
        <v>1</v>
      </c>
      <c r="H187" s="29">
        <v>294197</v>
      </c>
      <c r="I187" s="55">
        <f t="shared" si="7"/>
        <v>294197</v>
      </c>
      <c r="J187" s="29">
        <v>123443</v>
      </c>
      <c r="K187" s="54">
        <f t="shared" si="6"/>
        <v>2.3832619103553867</v>
      </c>
      <c r="L187" s="15"/>
      <c r="M187" s="49"/>
      <c r="N187" s="49">
        <f t="shared" si="8"/>
        <v>0</v>
      </c>
    </row>
    <row r="188" spans="2:14" s="16" customFormat="1" ht="15.75" customHeight="1">
      <c r="B188" s="7">
        <v>2022</v>
      </c>
      <c r="C188" s="7" t="s">
        <v>21</v>
      </c>
      <c r="D188" s="2" t="s">
        <v>15</v>
      </c>
      <c r="E188" s="2" t="s">
        <v>15</v>
      </c>
      <c r="F188" s="7" t="s">
        <v>16</v>
      </c>
      <c r="G188" s="52">
        <v>0.33999999999999997</v>
      </c>
      <c r="H188" s="29">
        <v>292847</v>
      </c>
      <c r="I188" s="55">
        <f t="shared" si="7"/>
        <v>99567.98</v>
      </c>
      <c r="J188" s="29"/>
      <c r="K188" s="54">
        <f t="shared" si="6"/>
        <v>0</v>
      </c>
      <c r="L188" s="15"/>
      <c r="M188" s="49"/>
      <c r="N188" s="49">
        <f t="shared" si="8"/>
        <v>0</v>
      </c>
    </row>
    <row r="189" spans="2:14" s="16" customFormat="1" ht="15.75" customHeight="1">
      <c r="B189" s="7">
        <v>2022</v>
      </c>
      <c r="C189" s="7" t="s">
        <v>21</v>
      </c>
      <c r="D189" s="2" t="s">
        <v>15</v>
      </c>
      <c r="E189" s="2" t="s">
        <v>15</v>
      </c>
      <c r="F189" s="7" t="s">
        <v>17</v>
      </c>
      <c r="G189" s="52">
        <v>0.19000031061799064</v>
      </c>
      <c r="H189" s="29">
        <v>292847</v>
      </c>
      <c r="I189" s="55">
        <f t="shared" si="7"/>
        <v>55641.020963546704</v>
      </c>
      <c r="J189" s="29"/>
      <c r="K189" s="54">
        <f t="shared" si="6"/>
        <v>0</v>
      </c>
      <c r="L189" s="15"/>
      <c r="M189" s="49"/>
      <c r="N189" s="49">
        <f t="shared" si="8"/>
        <v>0</v>
      </c>
    </row>
    <row r="190" spans="2:14" s="16" customFormat="1" ht="15.75" customHeight="1">
      <c r="B190" s="7">
        <v>2022</v>
      </c>
      <c r="C190" s="7" t="s">
        <v>21</v>
      </c>
      <c r="D190" s="2" t="s">
        <v>15</v>
      </c>
      <c r="E190" s="2" t="s">
        <v>15</v>
      </c>
      <c r="F190" s="7" t="s">
        <v>18</v>
      </c>
      <c r="G190" s="52">
        <v>0.19999999999999998</v>
      </c>
      <c r="H190" s="29">
        <v>292847</v>
      </c>
      <c r="I190" s="55">
        <f t="shared" si="7"/>
        <v>58569.399999999994</v>
      </c>
      <c r="J190" s="29"/>
      <c r="K190" s="54">
        <f t="shared" si="6"/>
        <v>0</v>
      </c>
      <c r="L190" s="15"/>
      <c r="M190" s="49"/>
      <c r="N190" s="49">
        <f t="shared" si="8"/>
        <v>0</v>
      </c>
    </row>
    <row r="191" spans="2:14" s="16" customFormat="1" ht="15.75" customHeight="1">
      <c r="B191" s="7">
        <v>2022</v>
      </c>
      <c r="C191" s="7" t="s">
        <v>21</v>
      </c>
      <c r="D191" s="2" t="s">
        <v>15</v>
      </c>
      <c r="E191" s="2" t="s">
        <v>15</v>
      </c>
      <c r="F191" s="7" t="s">
        <v>19</v>
      </c>
      <c r="G191" s="52">
        <v>0.26999999999999996</v>
      </c>
      <c r="H191" s="29">
        <v>292847</v>
      </c>
      <c r="I191" s="55">
        <f t="shared" si="7"/>
        <v>79068.689999999988</v>
      </c>
      <c r="J191" s="29"/>
      <c r="K191" s="54">
        <f t="shared" si="6"/>
        <v>0</v>
      </c>
      <c r="L191" s="15"/>
      <c r="M191" s="49"/>
      <c r="N191" s="49">
        <f t="shared" si="8"/>
        <v>0</v>
      </c>
    </row>
    <row r="192" spans="2:14" s="16" customFormat="1" ht="15.75" customHeight="1">
      <c r="B192" s="7">
        <v>2022</v>
      </c>
      <c r="C192" s="7" t="s">
        <v>21</v>
      </c>
      <c r="D192" s="2" t="s">
        <v>15</v>
      </c>
      <c r="E192" s="2" t="s">
        <v>15</v>
      </c>
      <c r="F192" s="22" t="s">
        <v>20</v>
      </c>
      <c r="G192" s="53">
        <v>1</v>
      </c>
      <c r="H192" s="29">
        <v>292847</v>
      </c>
      <c r="I192" s="55">
        <f t="shared" si="7"/>
        <v>292847</v>
      </c>
      <c r="J192" s="29">
        <v>120559</v>
      </c>
      <c r="K192" s="54">
        <f t="shared" si="6"/>
        <v>2.429076219942103</v>
      </c>
      <c r="L192" s="15"/>
      <c r="M192" s="49"/>
      <c r="N192" s="49">
        <f t="shared" si="8"/>
        <v>0</v>
      </c>
    </row>
    <row r="193" spans="2:14" s="16" customFormat="1" ht="15.75" customHeight="1">
      <c r="B193" s="7">
        <v>2022</v>
      </c>
      <c r="C193" s="7" t="s">
        <v>22</v>
      </c>
      <c r="D193" s="2" t="s">
        <v>15</v>
      </c>
      <c r="E193" s="2" t="s">
        <v>15</v>
      </c>
      <c r="F193" s="7" t="s">
        <v>16</v>
      </c>
      <c r="G193" s="52">
        <v>0.33999999999999997</v>
      </c>
      <c r="H193" s="29">
        <v>308723</v>
      </c>
      <c r="I193" s="55">
        <f t="shared" si="7"/>
        <v>104965.81999999999</v>
      </c>
      <c r="J193" s="29"/>
      <c r="K193" s="54">
        <f t="shared" si="6"/>
        <v>0</v>
      </c>
      <c r="L193" s="15"/>
      <c r="M193" s="49"/>
      <c r="N193" s="49">
        <f t="shared" si="8"/>
        <v>0</v>
      </c>
    </row>
    <row r="194" spans="2:14" s="16" customFormat="1" ht="15.75" customHeight="1">
      <c r="B194" s="7">
        <v>2022</v>
      </c>
      <c r="C194" s="7" t="s">
        <v>22</v>
      </c>
      <c r="D194" s="2" t="s">
        <v>15</v>
      </c>
      <c r="E194" s="2" t="s">
        <v>15</v>
      </c>
      <c r="F194" s="7" t="s">
        <v>17</v>
      </c>
      <c r="G194" s="52">
        <v>0.19000031061799064</v>
      </c>
      <c r="H194" s="29">
        <v>308723</v>
      </c>
      <c r="I194" s="55">
        <f t="shared" si="7"/>
        <v>58657.465894917921</v>
      </c>
      <c r="J194" s="29"/>
      <c r="K194" s="54">
        <f t="shared" si="6"/>
        <v>0</v>
      </c>
      <c r="L194" s="15"/>
      <c r="M194" s="49"/>
      <c r="N194" s="49">
        <f t="shared" si="8"/>
        <v>0</v>
      </c>
    </row>
    <row r="195" spans="2:14" s="16" customFormat="1" ht="15.75" customHeight="1">
      <c r="B195" s="7">
        <v>2022</v>
      </c>
      <c r="C195" s="7" t="s">
        <v>22</v>
      </c>
      <c r="D195" s="2" t="s">
        <v>15</v>
      </c>
      <c r="E195" s="2" t="s">
        <v>15</v>
      </c>
      <c r="F195" s="7" t="s">
        <v>18</v>
      </c>
      <c r="G195" s="52">
        <v>0.19999999999999998</v>
      </c>
      <c r="H195" s="29">
        <v>308723</v>
      </c>
      <c r="I195" s="55">
        <f t="shared" si="7"/>
        <v>61744.599999999991</v>
      </c>
      <c r="J195" s="29"/>
      <c r="K195" s="54">
        <f t="shared" si="6"/>
        <v>0</v>
      </c>
      <c r="L195" s="15"/>
      <c r="M195" s="49"/>
      <c r="N195" s="49">
        <f t="shared" si="8"/>
        <v>0</v>
      </c>
    </row>
    <row r="196" spans="2:14" s="16" customFormat="1" ht="15.75" customHeight="1">
      <c r="B196" s="7">
        <v>2022</v>
      </c>
      <c r="C196" s="7" t="s">
        <v>22</v>
      </c>
      <c r="D196" s="2" t="s">
        <v>15</v>
      </c>
      <c r="E196" s="2" t="s">
        <v>15</v>
      </c>
      <c r="F196" s="7" t="s">
        <v>19</v>
      </c>
      <c r="G196" s="52">
        <v>0.26999999999999996</v>
      </c>
      <c r="H196" s="29">
        <v>308723</v>
      </c>
      <c r="I196" s="55">
        <f t="shared" si="7"/>
        <v>83355.209999999992</v>
      </c>
      <c r="J196" s="29"/>
      <c r="K196" s="54">
        <f t="shared" ref="K196:K259" si="9">IFERROR(I196/J196,0)</f>
        <v>0</v>
      </c>
      <c r="L196" s="15"/>
      <c r="M196" s="49"/>
      <c r="N196" s="49">
        <f t="shared" si="8"/>
        <v>0</v>
      </c>
    </row>
    <row r="197" spans="2:14" s="16" customFormat="1" ht="15.75" customHeight="1">
      <c r="B197" s="7">
        <v>2022</v>
      </c>
      <c r="C197" s="7" t="s">
        <v>22</v>
      </c>
      <c r="D197" s="2" t="s">
        <v>15</v>
      </c>
      <c r="E197" s="2" t="s">
        <v>15</v>
      </c>
      <c r="F197" s="22" t="s">
        <v>20</v>
      </c>
      <c r="G197" s="53">
        <v>1</v>
      </c>
      <c r="H197" s="29">
        <v>308723</v>
      </c>
      <c r="I197" s="55">
        <f t="shared" si="7"/>
        <v>308723</v>
      </c>
      <c r="J197" s="29">
        <v>118631</v>
      </c>
      <c r="K197" s="54">
        <f t="shared" si="9"/>
        <v>2.6023804907654831</v>
      </c>
      <c r="L197" s="15"/>
      <c r="M197" s="49"/>
      <c r="N197" s="49">
        <f t="shared" si="8"/>
        <v>0</v>
      </c>
    </row>
    <row r="198" spans="2:14" s="16" customFormat="1" ht="15.75" customHeight="1">
      <c r="B198" s="7">
        <v>2023</v>
      </c>
      <c r="C198" s="7" t="s">
        <v>23</v>
      </c>
      <c r="D198" s="2" t="s">
        <v>15</v>
      </c>
      <c r="E198" s="2" t="s">
        <v>15</v>
      </c>
      <c r="F198" s="7" t="s">
        <v>16</v>
      </c>
      <c r="G198" s="52">
        <v>0.33999999999999997</v>
      </c>
      <c r="H198" s="29">
        <v>273373</v>
      </c>
      <c r="I198" s="55">
        <f t="shared" si="7"/>
        <v>92946.819999999992</v>
      </c>
      <c r="J198" s="29"/>
      <c r="K198" s="54">
        <f t="shared" si="9"/>
        <v>0</v>
      </c>
      <c r="L198" s="15"/>
      <c r="M198" s="49"/>
      <c r="N198" s="49">
        <f t="shared" si="8"/>
        <v>0</v>
      </c>
    </row>
    <row r="199" spans="2:14" s="16" customFormat="1" ht="15.75" customHeight="1">
      <c r="B199" s="7">
        <v>2023</v>
      </c>
      <c r="C199" s="7" t="s">
        <v>23</v>
      </c>
      <c r="D199" s="2" t="s">
        <v>15</v>
      </c>
      <c r="E199" s="2" t="s">
        <v>15</v>
      </c>
      <c r="F199" s="7" t="s">
        <v>17</v>
      </c>
      <c r="G199" s="52">
        <v>0.19000031061799064</v>
      </c>
      <c r="H199" s="29">
        <v>273373</v>
      </c>
      <c r="I199" s="55">
        <f t="shared" si="7"/>
        <v>51940.954914571957</v>
      </c>
      <c r="J199" s="29"/>
      <c r="K199" s="54">
        <f t="shared" si="9"/>
        <v>0</v>
      </c>
      <c r="L199" s="15"/>
      <c r="M199" s="49"/>
      <c r="N199" s="49">
        <f t="shared" si="8"/>
        <v>0</v>
      </c>
    </row>
    <row r="200" spans="2:14" s="16" customFormat="1" ht="15.75" customHeight="1">
      <c r="B200" s="7">
        <v>2023</v>
      </c>
      <c r="C200" s="7" t="s">
        <v>23</v>
      </c>
      <c r="D200" s="2" t="s">
        <v>15</v>
      </c>
      <c r="E200" s="2" t="s">
        <v>15</v>
      </c>
      <c r="F200" s="7" t="s">
        <v>18</v>
      </c>
      <c r="G200" s="52">
        <v>0.19999999999999998</v>
      </c>
      <c r="H200" s="29">
        <v>273373</v>
      </c>
      <c r="I200" s="55">
        <f t="shared" ref="I200:I263" si="10">G200*H200</f>
        <v>54674.6</v>
      </c>
      <c r="J200" s="29"/>
      <c r="K200" s="54">
        <f t="shared" si="9"/>
        <v>0</v>
      </c>
      <c r="L200" s="15"/>
      <c r="M200" s="49"/>
      <c r="N200" s="49">
        <f t="shared" si="8"/>
        <v>0</v>
      </c>
    </row>
    <row r="201" spans="2:14" s="16" customFormat="1" ht="15.75" customHeight="1">
      <c r="B201" s="7">
        <v>2023</v>
      </c>
      <c r="C201" s="7" t="s">
        <v>23</v>
      </c>
      <c r="D201" s="2" t="s">
        <v>15</v>
      </c>
      <c r="E201" s="2" t="s">
        <v>15</v>
      </c>
      <c r="F201" s="7" t="s">
        <v>19</v>
      </c>
      <c r="G201" s="52">
        <v>0.26999999999999996</v>
      </c>
      <c r="H201" s="29">
        <v>273373</v>
      </c>
      <c r="I201" s="55">
        <f t="shared" si="10"/>
        <v>73810.709999999992</v>
      </c>
      <c r="J201" s="29"/>
      <c r="K201" s="54">
        <f t="shared" si="9"/>
        <v>0</v>
      </c>
      <c r="L201" s="15"/>
      <c r="M201" s="49"/>
      <c r="N201" s="49">
        <f t="shared" si="8"/>
        <v>0</v>
      </c>
    </row>
    <row r="202" spans="2:14" s="16" customFormat="1" ht="15.75" customHeight="1">
      <c r="B202" s="7">
        <v>2023</v>
      </c>
      <c r="C202" s="7" t="s">
        <v>23</v>
      </c>
      <c r="D202" s="2" t="s">
        <v>15</v>
      </c>
      <c r="E202" s="2" t="s">
        <v>15</v>
      </c>
      <c r="F202" s="22" t="s">
        <v>20</v>
      </c>
      <c r="G202" s="53">
        <v>1</v>
      </c>
      <c r="H202" s="29">
        <v>273373</v>
      </c>
      <c r="I202" s="55">
        <f t="shared" si="10"/>
        <v>273373</v>
      </c>
      <c r="J202" s="29">
        <v>124300</v>
      </c>
      <c r="K202" s="54">
        <f t="shared" si="9"/>
        <v>2.1993000804505227</v>
      </c>
      <c r="L202" s="15"/>
      <c r="M202" s="49"/>
      <c r="N202" s="49">
        <f t="shared" si="8"/>
        <v>0</v>
      </c>
    </row>
    <row r="203" spans="2:14" s="16" customFormat="1" ht="15.75" customHeight="1">
      <c r="B203" s="7">
        <v>2023</v>
      </c>
      <c r="C203" s="7" t="s">
        <v>24</v>
      </c>
      <c r="D203" s="2" t="s">
        <v>15</v>
      </c>
      <c r="E203" s="2" t="s">
        <v>15</v>
      </c>
      <c r="F203" s="7" t="s">
        <v>16</v>
      </c>
      <c r="G203" s="52">
        <v>0.33999999999999997</v>
      </c>
      <c r="H203" s="29">
        <v>259416</v>
      </c>
      <c r="I203" s="55">
        <f t="shared" si="10"/>
        <v>88201.439999999988</v>
      </c>
      <c r="J203" s="29"/>
      <c r="K203" s="54">
        <f t="shared" si="9"/>
        <v>0</v>
      </c>
      <c r="L203" s="15"/>
      <c r="M203" s="49"/>
      <c r="N203" s="49">
        <f t="shared" si="8"/>
        <v>0</v>
      </c>
    </row>
    <row r="204" spans="2:14" s="16" customFormat="1" ht="15.75" customHeight="1">
      <c r="B204" s="7">
        <v>2023</v>
      </c>
      <c r="C204" s="7" t="s">
        <v>24</v>
      </c>
      <c r="D204" s="2" t="s">
        <v>15</v>
      </c>
      <c r="E204" s="2" t="s">
        <v>15</v>
      </c>
      <c r="F204" s="7" t="s">
        <v>17</v>
      </c>
      <c r="G204" s="52">
        <v>0.19000031061799064</v>
      </c>
      <c r="H204" s="29">
        <v>259416</v>
      </c>
      <c r="I204" s="55">
        <f t="shared" si="10"/>
        <v>49289.120579276656</v>
      </c>
      <c r="J204" s="29"/>
      <c r="K204" s="54">
        <f t="shared" si="9"/>
        <v>0</v>
      </c>
      <c r="L204" s="15"/>
      <c r="M204" s="49"/>
      <c r="N204" s="49">
        <f t="shared" si="8"/>
        <v>0</v>
      </c>
    </row>
    <row r="205" spans="2:14" s="16" customFormat="1" ht="15.75" customHeight="1">
      <c r="B205" s="7">
        <v>2023</v>
      </c>
      <c r="C205" s="7" t="s">
        <v>24</v>
      </c>
      <c r="D205" s="2" t="s">
        <v>15</v>
      </c>
      <c r="E205" s="2" t="s">
        <v>15</v>
      </c>
      <c r="F205" s="7" t="s">
        <v>18</v>
      </c>
      <c r="G205" s="52">
        <v>0.19999999999999998</v>
      </c>
      <c r="H205" s="29">
        <v>259416</v>
      </c>
      <c r="I205" s="55">
        <f t="shared" si="10"/>
        <v>51883.199999999997</v>
      </c>
      <c r="J205" s="29"/>
      <c r="K205" s="54">
        <f t="shared" si="9"/>
        <v>0</v>
      </c>
      <c r="L205" s="15"/>
      <c r="M205" s="49"/>
      <c r="N205" s="49">
        <f t="shared" si="8"/>
        <v>0</v>
      </c>
    </row>
    <row r="206" spans="2:14" s="16" customFormat="1" ht="15.75" customHeight="1">
      <c r="B206" s="7">
        <v>2023</v>
      </c>
      <c r="C206" s="7" t="s">
        <v>24</v>
      </c>
      <c r="D206" s="2" t="s">
        <v>15</v>
      </c>
      <c r="E206" s="2" t="s">
        <v>15</v>
      </c>
      <c r="F206" s="7" t="s">
        <v>19</v>
      </c>
      <c r="G206" s="52">
        <v>0.26999999999999996</v>
      </c>
      <c r="H206" s="29">
        <v>259416</v>
      </c>
      <c r="I206" s="55">
        <f t="shared" si="10"/>
        <v>70042.319999999992</v>
      </c>
      <c r="J206" s="29"/>
      <c r="K206" s="54">
        <f t="shared" si="9"/>
        <v>0</v>
      </c>
      <c r="L206" s="15"/>
      <c r="M206" s="49"/>
      <c r="N206" s="49">
        <f t="shared" si="8"/>
        <v>0</v>
      </c>
    </row>
    <row r="207" spans="2:14" s="16" customFormat="1" ht="15.75" customHeight="1">
      <c r="B207" s="7">
        <v>2023</v>
      </c>
      <c r="C207" s="7" t="s">
        <v>24</v>
      </c>
      <c r="D207" s="2" t="s">
        <v>15</v>
      </c>
      <c r="E207" s="2" t="s">
        <v>15</v>
      </c>
      <c r="F207" s="22" t="s">
        <v>20</v>
      </c>
      <c r="G207" s="53">
        <v>1</v>
      </c>
      <c r="H207" s="29">
        <v>259416</v>
      </c>
      <c r="I207" s="55">
        <f t="shared" si="10"/>
        <v>259416</v>
      </c>
      <c r="J207" s="29">
        <v>116033</v>
      </c>
      <c r="K207" s="54">
        <f t="shared" si="9"/>
        <v>2.2357088069773252</v>
      </c>
      <c r="L207" s="15"/>
      <c r="M207" s="49"/>
      <c r="N207" s="49">
        <f t="shared" si="8"/>
        <v>0</v>
      </c>
    </row>
    <row r="208" spans="2:14" s="16" customFormat="1" ht="15.75" customHeight="1">
      <c r="B208" s="7">
        <v>2023</v>
      </c>
      <c r="C208" s="7" t="s">
        <v>25</v>
      </c>
      <c r="D208" s="2" t="s">
        <v>15</v>
      </c>
      <c r="E208" s="2" t="s">
        <v>15</v>
      </c>
      <c r="F208" s="7" t="s">
        <v>16</v>
      </c>
      <c r="G208" s="52">
        <v>0.33999999999999997</v>
      </c>
      <c r="H208" s="30">
        <v>275947</v>
      </c>
      <c r="I208" s="55">
        <f t="shared" si="10"/>
        <v>93821.98</v>
      </c>
      <c r="J208" s="29"/>
      <c r="K208" s="54">
        <f t="shared" si="9"/>
        <v>0</v>
      </c>
      <c r="L208" s="15"/>
      <c r="M208" s="49"/>
      <c r="N208" s="49">
        <f t="shared" si="8"/>
        <v>0</v>
      </c>
    </row>
    <row r="209" spans="2:14" s="16" customFormat="1" ht="15.75" customHeight="1">
      <c r="B209" s="7">
        <v>2023</v>
      </c>
      <c r="C209" s="7" t="s">
        <v>25</v>
      </c>
      <c r="D209" s="2" t="s">
        <v>15</v>
      </c>
      <c r="E209" s="2" t="s">
        <v>15</v>
      </c>
      <c r="F209" s="7" t="s">
        <v>17</v>
      </c>
      <c r="G209" s="52">
        <v>0.19000031061799064</v>
      </c>
      <c r="H209" s="30">
        <v>275947</v>
      </c>
      <c r="I209" s="55">
        <f t="shared" si="10"/>
        <v>52430.015714102665</v>
      </c>
      <c r="J209" s="29"/>
      <c r="K209" s="54">
        <f t="shared" si="9"/>
        <v>0</v>
      </c>
      <c r="L209" s="15"/>
      <c r="M209" s="49"/>
      <c r="N209" s="49">
        <f t="shared" si="8"/>
        <v>0</v>
      </c>
    </row>
    <row r="210" spans="2:14" s="16" customFormat="1" ht="15.75" customHeight="1">
      <c r="B210" s="7">
        <v>2023</v>
      </c>
      <c r="C210" s="7" t="s">
        <v>25</v>
      </c>
      <c r="D210" s="2" t="s">
        <v>15</v>
      </c>
      <c r="E210" s="2" t="s">
        <v>15</v>
      </c>
      <c r="F210" s="7" t="s">
        <v>18</v>
      </c>
      <c r="G210" s="52">
        <v>0.19999999999999998</v>
      </c>
      <c r="H210" s="30">
        <v>275947</v>
      </c>
      <c r="I210" s="55">
        <f t="shared" si="10"/>
        <v>55189.399999999994</v>
      </c>
      <c r="J210" s="29"/>
      <c r="K210" s="54">
        <f t="shared" si="9"/>
        <v>0</v>
      </c>
      <c r="L210" s="15"/>
      <c r="M210" s="49"/>
      <c r="N210" s="49">
        <f t="shared" si="8"/>
        <v>0</v>
      </c>
    </row>
    <row r="211" spans="2:14" s="16" customFormat="1" ht="15.75" customHeight="1">
      <c r="B211" s="7">
        <v>2023</v>
      </c>
      <c r="C211" s="7" t="s">
        <v>25</v>
      </c>
      <c r="D211" s="2" t="s">
        <v>15</v>
      </c>
      <c r="E211" s="2" t="s">
        <v>15</v>
      </c>
      <c r="F211" s="7" t="s">
        <v>19</v>
      </c>
      <c r="G211" s="52">
        <v>0.26999999999999996</v>
      </c>
      <c r="H211" s="30">
        <v>275947</v>
      </c>
      <c r="I211" s="55">
        <f t="shared" si="10"/>
        <v>74505.689999999988</v>
      </c>
      <c r="J211" s="29"/>
      <c r="K211" s="54">
        <f t="shared" si="9"/>
        <v>0</v>
      </c>
      <c r="L211" s="15"/>
      <c r="M211" s="49"/>
      <c r="N211" s="49">
        <f t="shared" si="8"/>
        <v>0</v>
      </c>
    </row>
    <row r="212" spans="2:14" s="16" customFormat="1" ht="15.75" customHeight="1">
      <c r="B212" s="7">
        <v>2023</v>
      </c>
      <c r="C212" s="7" t="s">
        <v>25</v>
      </c>
      <c r="D212" s="2" t="s">
        <v>15</v>
      </c>
      <c r="E212" s="2" t="s">
        <v>15</v>
      </c>
      <c r="F212" s="22" t="s">
        <v>20</v>
      </c>
      <c r="G212" s="53">
        <v>1</v>
      </c>
      <c r="H212" s="30">
        <v>275947</v>
      </c>
      <c r="I212" s="55">
        <f t="shared" si="10"/>
        <v>275947</v>
      </c>
      <c r="J212" s="29">
        <v>123798</v>
      </c>
      <c r="K212" s="54">
        <f t="shared" si="9"/>
        <v>2.2290101617150517</v>
      </c>
      <c r="L212" s="15"/>
      <c r="M212" s="49"/>
      <c r="N212" s="49">
        <f t="shared" si="8"/>
        <v>0</v>
      </c>
    </row>
    <row r="213" spans="2:14" s="16" customFormat="1" ht="15.75" customHeight="1">
      <c r="B213" s="7">
        <v>2023</v>
      </c>
      <c r="C213" s="7" t="s">
        <v>26</v>
      </c>
      <c r="D213" s="2" t="s">
        <v>15</v>
      </c>
      <c r="E213" s="2" t="s">
        <v>15</v>
      </c>
      <c r="F213" s="7" t="s">
        <v>16</v>
      </c>
      <c r="G213" s="52">
        <v>0.33999999999999997</v>
      </c>
      <c r="H213" s="29">
        <v>288534</v>
      </c>
      <c r="I213" s="55">
        <f t="shared" si="10"/>
        <v>98101.56</v>
      </c>
      <c r="J213" s="29"/>
      <c r="K213" s="54">
        <f t="shared" si="9"/>
        <v>0</v>
      </c>
      <c r="L213" s="15"/>
      <c r="M213" s="49"/>
      <c r="N213" s="49">
        <f t="shared" si="8"/>
        <v>0</v>
      </c>
    </row>
    <row r="214" spans="2:14" s="16" customFormat="1" ht="15.75" customHeight="1">
      <c r="B214" s="7">
        <v>2023</v>
      </c>
      <c r="C214" s="7" t="s">
        <v>26</v>
      </c>
      <c r="D214" s="2" t="s">
        <v>15</v>
      </c>
      <c r="E214" s="2" t="s">
        <v>15</v>
      </c>
      <c r="F214" s="7" t="s">
        <v>17</v>
      </c>
      <c r="G214" s="52">
        <v>0.19000031061799064</v>
      </c>
      <c r="H214" s="29">
        <v>288534</v>
      </c>
      <c r="I214" s="55">
        <f t="shared" si="10"/>
        <v>54821.549623851308</v>
      </c>
      <c r="J214" s="29"/>
      <c r="K214" s="54">
        <f t="shared" si="9"/>
        <v>0</v>
      </c>
      <c r="L214" s="15"/>
      <c r="M214" s="49"/>
      <c r="N214" s="49">
        <f t="shared" si="8"/>
        <v>0</v>
      </c>
    </row>
    <row r="215" spans="2:14" s="16" customFormat="1" ht="15.75" customHeight="1">
      <c r="B215" s="7">
        <v>2023</v>
      </c>
      <c r="C215" s="7" t="s">
        <v>26</v>
      </c>
      <c r="D215" s="2" t="s">
        <v>15</v>
      </c>
      <c r="E215" s="2" t="s">
        <v>15</v>
      </c>
      <c r="F215" s="7" t="s">
        <v>18</v>
      </c>
      <c r="G215" s="52">
        <v>0.19999999999999998</v>
      </c>
      <c r="H215" s="29">
        <v>288534</v>
      </c>
      <c r="I215" s="55">
        <f t="shared" si="10"/>
        <v>57706.799999999996</v>
      </c>
      <c r="J215" s="29"/>
      <c r="K215" s="54">
        <f t="shared" si="9"/>
        <v>0</v>
      </c>
      <c r="L215" s="15"/>
      <c r="M215" s="49"/>
      <c r="N215" s="49">
        <f t="shared" si="8"/>
        <v>0</v>
      </c>
    </row>
    <row r="216" spans="2:14" s="16" customFormat="1" ht="15.75" customHeight="1">
      <c r="B216" s="7">
        <v>2023</v>
      </c>
      <c r="C216" s="7" t="s">
        <v>26</v>
      </c>
      <c r="D216" s="2" t="s">
        <v>15</v>
      </c>
      <c r="E216" s="2" t="s">
        <v>15</v>
      </c>
      <c r="F216" s="7" t="s">
        <v>19</v>
      </c>
      <c r="G216" s="52">
        <v>0.26999999999999996</v>
      </c>
      <c r="H216" s="29">
        <v>288534</v>
      </c>
      <c r="I216" s="55">
        <f t="shared" si="10"/>
        <v>77904.179999999993</v>
      </c>
      <c r="J216" s="29"/>
      <c r="K216" s="54">
        <f t="shared" si="9"/>
        <v>0</v>
      </c>
      <c r="L216" s="15"/>
      <c r="M216" s="49"/>
      <c r="N216" s="49">
        <f t="shared" si="8"/>
        <v>0</v>
      </c>
    </row>
    <row r="217" spans="2:14" s="16" customFormat="1" ht="15.75" customHeight="1">
      <c r="B217" s="7">
        <v>2023</v>
      </c>
      <c r="C217" s="7" t="s">
        <v>26</v>
      </c>
      <c r="D217" s="2" t="s">
        <v>15</v>
      </c>
      <c r="E217" s="2" t="s">
        <v>15</v>
      </c>
      <c r="F217" s="22" t="s">
        <v>20</v>
      </c>
      <c r="G217" s="53">
        <v>1</v>
      </c>
      <c r="H217" s="29">
        <v>288534</v>
      </c>
      <c r="I217" s="55">
        <f t="shared" si="10"/>
        <v>288534</v>
      </c>
      <c r="J217" s="29">
        <v>112920</v>
      </c>
      <c r="K217" s="54">
        <f t="shared" si="9"/>
        <v>2.5552072263549417</v>
      </c>
      <c r="L217" s="15"/>
      <c r="M217" s="49"/>
      <c r="N217" s="49">
        <f t="shared" si="8"/>
        <v>0</v>
      </c>
    </row>
    <row r="218" spans="2:14" s="16" customFormat="1" ht="15.75" customHeight="1">
      <c r="B218" s="7">
        <v>2023</v>
      </c>
      <c r="C218" s="7" t="s">
        <v>27</v>
      </c>
      <c r="D218" s="2" t="s">
        <v>15</v>
      </c>
      <c r="E218" s="2" t="s">
        <v>15</v>
      </c>
      <c r="F218" s="7" t="s">
        <v>16</v>
      </c>
      <c r="G218" s="52">
        <v>0.33999999999999997</v>
      </c>
      <c r="H218" s="29">
        <v>242784</v>
      </c>
      <c r="I218" s="55">
        <f t="shared" si="10"/>
        <v>82546.559999999998</v>
      </c>
      <c r="J218" s="29"/>
      <c r="K218" s="54">
        <f t="shared" si="9"/>
        <v>0</v>
      </c>
      <c r="L218" s="15"/>
      <c r="M218" s="49"/>
      <c r="N218" s="49">
        <f t="shared" si="8"/>
        <v>0</v>
      </c>
    </row>
    <row r="219" spans="2:14" s="16" customFormat="1" ht="15.75" customHeight="1">
      <c r="B219" s="7">
        <v>2023</v>
      </c>
      <c r="C219" s="7" t="s">
        <v>27</v>
      </c>
      <c r="D219" s="2" t="s">
        <v>15</v>
      </c>
      <c r="E219" s="2" t="s">
        <v>15</v>
      </c>
      <c r="F219" s="7" t="s">
        <v>17</v>
      </c>
      <c r="G219" s="52">
        <v>0.19000031061799064</v>
      </c>
      <c r="H219" s="29">
        <v>242784</v>
      </c>
      <c r="I219" s="55">
        <f t="shared" si="10"/>
        <v>46129.035413078236</v>
      </c>
      <c r="J219" s="29"/>
      <c r="K219" s="54">
        <f t="shared" si="9"/>
        <v>0</v>
      </c>
      <c r="L219" s="15"/>
      <c r="M219" s="49"/>
      <c r="N219" s="49">
        <f t="shared" si="8"/>
        <v>0</v>
      </c>
    </row>
    <row r="220" spans="2:14" s="16" customFormat="1" ht="15.75" customHeight="1">
      <c r="B220" s="7">
        <v>2023</v>
      </c>
      <c r="C220" s="7" t="s">
        <v>27</v>
      </c>
      <c r="D220" s="2" t="s">
        <v>15</v>
      </c>
      <c r="E220" s="2" t="s">
        <v>15</v>
      </c>
      <c r="F220" s="7" t="s">
        <v>18</v>
      </c>
      <c r="G220" s="52">
        <v>0.19999999999999998</v>
      </c>
      <c r="H220" s="29">
        <v>242784</v>
      </c>
      <c r="I220" s="55">
        <f t="shared" si="10"/>
        <v>48556.799999999996</v>
      </c>
      <c r="J220" s="29"/>
      <c r="K220" s="54">
        <f t="shared" si="9"/>
        <v>0</v>
      </c>
      <c r="L220" s="15"/>
      <c r="M220" s="49"/>
      <c r="N220" s="49">
        <f t="shared" si="8"/>
        <v>0</v>
      </c>
    </row>
    <row r="221" spans="2:14" s="16" customFormat="1" ht="15.75" customHeight="1">
      <c r="B221" s="7">
        <v>2023</v>
      </c>
      <c r="C221" s="7" t="s">
        <v>27</v>
      </c>
      <c r="D221" s="2" t="s">
        <v>15</v>
      </c>
      <c r="E221" s="2" t="s">
        <v>15</v>
      </c>
      <c r="F221" s="7" t="s">
        <v>19</v>
      </c>
      <c r="G221" s="52">
        <v>0.26999999999999996</v>
      </c>
      <c r="H221" s="29">
        <v>242784</v>
      </c>
      <c r="I221" s="55">
        <f t="shared" si="10"/>
        <v>65551.679999999993</v>
      </c>
      <c r="J221" s="29"/>
      <c r="K221" s="54">
        <f t="shared" si="9"/>
        <v>0</v>
      </c>
      <c r="L221" s="15"/>
      <c r="M221" s="49"/>
      <c r="N221" s="49">
        <f t="shared" si="8"/>
        <v>0</v>
      </c>
    </row>
    <row r="222" spans="2:14" s="16" customFormat="1" ht="15.75" customHeight="1">
      <c r="B222" s="7">
        <v>2023</v>
      </c>
      <c r="C222" s="7" t="s">
        <v>27</v>
      </c>
      <c r="D222" s="2" t="s">
        <v>15</v>
      </c>
      <c r="E222" s="2" t="s">
        <v>15</v>
      </c>
      <c r="F222" s="22" t="s">
        <v>20</v>
      </c>
      <c r="G222" s="53">
        <v>1</v>
      </c>
      <c r="H222" s="29">
        <v>242784</v>
      </c>
      <c r="I222" s="55">
        <f t="shared" si="10"/>
        <v>242784</v>
      </c>
      <c r="J222" s="29">
        <v>119439</v>
      </c>
      <c r="K222" s="54">
        <f t="shared" si="9"/>
        <v>2.0327028859920127</v>
      </c>
      <c r="L222" s="15"/>
      <c r="M222" s="49"/>
      <c r="N222" s="49">
        <f t="shared" si="8"/>
        <v>0</v>
      </c>
    </row>
    <row r="223" spans="2:14" s="16" customFormat="1" ht="15.75" customHeight="1">
      <c r="B223" s="7">
        <v>2023</v>
      </c>
      <c r="C223" s="7" t="s">
        <v>28</v>
      </c>
      <c r="D223" s="2" t="s">
        <v>15</v>
      </c>
      <c r="E223" s="2" t="s">
        <v>15</v>
      </c>
      <c r="F223" s="7" t="s">
        <v>16</v>
      </c>
      <c r="G223" s="52">
        <v>0.33999999999999997</v>
      </c>
      <c r="H223" s="30">
        <v>293252</v>
      </c>
      <c r="I223" s="55">
        <f t="shared" si="10"/>
        <v>99705.68</v>
      </c>
      <c r="J223" s="29"/>
      <c r="K223" s="54">
        <f t="shared" si="9"/>
        <v>0</v>
      </c>
      <c r="L223" s="15"/>
      <c r="M223" s="49"/>
      <c r="N223" s="49">
        <f t="shared" si="8"/>
        <v>0</v>
      </c>
    </row>
    <row r="224" spans="2:14" s="16" customFormat="1" ht="15.75" customHeight="1">
      <c r="B224" s="7">
        <v>2023</v>
      </c>
      <c r="C224" s="7" t="s">
        <v>28</v>
      </c>
      <c r="D224" s="2" t="s">
        <v>15</v>
      </c>
      <c r="E224" s="2" t="s">
        <v>15</v>
      </c>
      <c r="F224" s="7" t="s">
        <v>17</v>
      </c>
      <c r="G224" s="52">
        <v>0.19000031061799064</v>
      </c>
      <c r="H224" s="30">
        <v>293252</v>
      </c>
      <c r="I224" s="55">
        <f t="shared" si="10"/>
        <v>55717.971089346989</v>
      </c>
      <c r="J224" s="29"/>
      <c r="K224" s="54">
        <f t="shared" si="9"/>
        <v>0</v>
      </c>
      <c r="L224" s="15"/>
      <c r="M224" s="49"/>
      <c r="N224" s="49">
        <f t="shared" si="8"/>
        <v>0</v>
      </c>
    </row>
    <row r="225" spans="2:14" s="16" customFormat="1" ht="15.75" customHeight="1">
      <c r="B225" s="7">
        <v>2023</v>
      </c>
      <c r="C225" s="7" t="s">
        <v>28</v>
      </c>
      <c r="D225" s="2" t="s">
        <v>15</v>
      </c>
      <c r="E225" s="2" t="s">
        <v>15</v>
      </c>
      <c r="F225" s="7" t="s">
        <v>18</v>
      </c>
      <c r="G225" s="52">
        <v>0.19999999999999998</v>
      </c>
      <c r="H225" s="30">
        <v>293252</v>
      </c>
      <c r="I225" s="55">
        <f t="shared" si="10"/>
        <v>58650.399999999994</v>
      </c>
      <c r="J225" s="29"/>
      <c r="K225" s="54">
        <f t="shared" si="9"/>
        <v>0</v>
      </c>
      <c r="L225" s="15"/>
      <c r="M225" s="49"/>
      <c r="N225" s="49">
        <f t="shared" ref="N225:N288" si="11">I225*M225</f>
        <v>0</v>
      </c>
    </row>
    <row r="226" spans="2:14" s="16" customFormat="1" ht="15.75" customHeight="1">
      <c r="B226" s="7">
        <v>2023</v>
      </c>
      <c r="C226" s="7" t="s">
        <v>28</v>
      </c>
      <c r="D226" s="2" t="s">
        <v>15</v>
      </c>
      <c r="E226" s="2" t="s">
        <v>15</v>
      </c>
      <c r="F226" s="7" t="s">
        <v>19</v>
      </c>
      <c r="G226" s="52">
        <v>0.26999999999999996</v>
      </c>
      <c r="H226" s="30">
        <v>293252</v>
      </c>
      <c r="I226" s="55">
        <f t="shared" si="10"/>
        <v>79178.039999999994</v>
      </c>
      <c r="J226" s="29"/>
      <c r="K226" s="54">
        <f t="shared" si="9"/>
        <v>0</v>
      </c>
      <c r="L226" s="15"/>
      <c r="M226" s="49"/>
      <c r="N226" s="49">
        <f t="shared" si="11"/>
        <v>0</v>
      </c>
    </row>
    <row r="227" spans="2:14" s="16" customFormat="1" ht="15.75" customHeight="1">
      <c r="B227" s="7">
        <v>2023</v>
      </c>
      <c r="C227" s="7" t="s">
        <v>28</v>
      </c>
      <c r="D227" s="2" t="s">
        <v>15</v>
      </c>
      <c r="E227" s="2" t="s">
        <v>15</v>
      </c>
      <c r="F227" s="22" t="s">
        <v>20</v>
      </c>
      <c r="G227" s="53">
        <v>1</v>
      </c>
      <c r="H227" s="30">
        <v>293252</v>
      </c>
      <c r="I227" s="55">
        <f t="shared" si="10"/>
        <v>293252</v>
      </c>
      <c r="J227" s="29">
        <v>120600</v>
      </c>
      <c r="K227" s="54">
        <f t="shared" si="9"/>
        <v>2.431608623548922</v>
      </c>
      <c r="L227" s="15"/>
      <c r="M227" s="49"/>
      <c r="N227" s="49">
        <f t="shared" si="11"/>
        <v>0</v>
      </c>
    </row>
    <row r="228" spans="2:14" s="16" customFormat="1" ht="15.75" customHeight="1">
      <c r="B228" s="7">
        <v>2023</v>
      </c>
      <c r="C228" s="7" t="s">
        <v>29</v>
      </c>
      <c r="D228" s="2" t="s">
        <v>15</v>
      </c>
      <c r="E228" s="2" t="s">
        <v>15</v>
      </c>
      <c r="F228" s="7" t="s">
        <v>16</v>
      </c>
      <c r="G228" s="52">
        <v>0.33999999999999997</v>
      </c>
      <c r="H228" s="29">
        <v>315620</v>
      </c>
      <c r="I228" s="55">
        <f t="shared" si="10"/>
        <v>107310.79999999999</v>
      </c>
      <c r="J228" s="29"/>
      <c r="K228" s="54">
        <f t="shared" si="9"/>
        <v>0</v>
      </c>
      <c r="L228" s="15"/>
      <c r="M228" s="49"/>
      <c r="N228" s="49">
        <f t="shared" si="11"/>
        <v>0</v>
      </c>
    </row>
    <row r="229" spans="2:14" s="16" customFormat="1" ht="15.75" customHeight="1">
      <c r="B229" s="7">
        <v>2023</v>
      </c>
      <c r="C229" s="7" t="s">
        <v>29</v>
      </c>
      <c r="D229" s="2" t="s">
        <v>15</v>
      </c>
      <c r="E229" s="2" t="s">
        <v>15</v>
      </c>
      <c r="F229" s="7" t="s">
        <v>17</v>
      </c>
      <c r="G229" s="52">
        <v>0.19000031061799064</v>
      </c>
      <c r="H229" s="29">
        <v>315620</v>
      </c>
      <c r="I229" s="55">
        <f t="shared" si="10"/>
        <v>59967.898037250205</v>
      </c>
      <c r="J229" s="29"/>
      <c r="K229" s="54">
        <f t="shared" si="9"/>
        <v>0</v>
      </c>
      <c r="L229" s="15"/>
      <c r="M229" s="49"/>
      <c r="N229" s="49">
        <f t="shared" si="11"/>
        <v>0</v>
      </c>
    </row>
    <row r="230" spans="2:14" s="16" customFormat="1" ht="15.75" customHeight="1">
      <c r="B230" s="7">
        <v>2023</v>
      </c>
      <c r="C230" s="7" t="s">
        <v>29</v>
      </c>
      <c r="D230" s="2" t="s">
        <v>15</v>
      </c>
      <c r="E230" s="2" t="s">
        <v>15</v>
      </c>
      <c r="F230" s="7" t="s">
        <v>18</v>
      </c>
      <c r="G230" s="52">
        <v>0.19999999999999998</v>
      </c>
      <c r="H230" s="29">
        <v>315620</v>
      </c>
      <c r="I230" s="55">
        <f t="shared" si="10"/>
        <v>63123.999999999993</v>
      </c>
      <c r="J230" s="29"/>
      <c r="K230" s="54">
        <f t="shared" si="9"/>
        <v>0</v>
      </c>
      <c r="L230" s="15"/>
      <c r="M230" s="49"/>
      <c r="N230" s="49">
        <f t="shared" si="11"/>
        <v>0</v>
      </c>
    </row>
    <row r="231" spans="2:14" s="16" customFormat="1" ht="15.75" customHeight="1">
      <c r="B231" s="7">
        <v>2023</v>
      </c>
      <c r="C231" s="7" t="s">
        <v>29</v>
      </c>
      <c r="D231" s="2" t="s">
        <v>15</v>
      </c>
      <c r="E231" s="2" t="s">
        <v>15</v>
      </c>
      <c r="F231" s="7" t="s">
        <v>19</v>
      </c>
      <c r="G231" s="52">
        <v>0.26999999999999996</v>
      </c>
      <c r="H231" s="29">
        <v>315620</v>
      </c>
      <c r="I231" s="55">
        <f t="shared" si="10"/>
        <v>85217.4</v>
      </c>
      <c r="J231" s="29"/>
      <c r="K231" s="54">
        <f t="shared" si="9"/>
        <v>0</v>
      </c>
      <c r="L231" s="15"/>
      <c r="M231" s="49"/>
      <c r="N231" s="49">
        <f t="shared" si="11"/>
        <v>0</v>
      </c>
    </row>
    <row r="232" spans="2:14" s="16" customFormat="1" ht="15.75" customHeight="1">
      <c r="B232" s="7">
        <v>2023</v>
      </c>
      <c r="C232" s="7" t="s">
        <v>29</v>
      </c>
      <c r="D232" s="2" t="s">
        <v>15</v>
      </c>
      <c r="E232" s="2" t="s">
        <v>15</v>
      </c>
      <c r="F232" s="22" t="s">
        <v>20</v>
      </c>
      <c r="G232" s="53">
        <v>1</v>
      </c>
      <c r="H232" s="29">
        <v>315620</v>
      </c>
      <c r="I232" s="55">
        <f t="shared" si="10"/>
        <v>315620</v>
      </c>
      <c r="J232" s="29">
        <v>101823</v>
      </c>
      <c r="K232" s="54">
        <f t="shared" si="9"/>
        <v>3.09969260383214</v>
      </c>
      <c r="L232" s="15"/>
      <c r="M232" s="49"/>
      <c r="N232" s="49">
        <f t="shared" si="11"/>
        <v>0</v>
      </c>
    </row>
    <row r="233" spans="2:14" s="16" customFormat="1" ht="15.75" customHeight="1">
      <c r="B233" s="7">
        <v>2023</v>
      </c>
      <c r="C233" s="7" t="s">
        <v>30</v>
      </c>
      <c r="D233" s="2" t="s">
        <v>15</v>
      </c>
      <c r="E233" s="2" t="s">
        <v>15</v>
      </c>
      <c r="F233" s="7" t="s">
        <v>16</v>
      </c>
      <c r="G233" s="52">
        <v>0.33999999999999997</v>
      </c>
      <c r="H233" s="30">
        <v>252733</v>
      </c>
      <c r="I233" s="55">
        <f t="shared" si="10"/>
        <v>85929.219999999987</v>
      </c>
      <c r="J233" s="29"/>
      <c r="K233" s="54">
        <f t="shared" si="9"/>
        <v>0</v>
      </c>
      <c r="L233" s="15"/>
      <c r="M233" s="49"/>
      <c r="N233" s="49">
        <f t="shared" si="11"/>
        <v>0</v>
      </c>
    </row>
    <row r="234" spans="2:14" s="16" customFormat="1" ht="15.75" customHeight="1">
      <c r="B234" s="7">
        <v>2023</v>
      </c>
      <c r="C234" s="7" t="s">
        <v>30</v>
      </c>
      <c r="D234" s="2" t="s">
        <v>15</v>
      </c>
      <c r="E234" s="2" t="s">
        <v>15</v>
      </c>
      <c r="F234" s="7" t="s">
        <v>17</v>
      </c>
      <c r="G234" s="52">
        <v>0.19000031061799064</v>
      </c>
      <c r="H234" s="30">
        <v>252733</v>
      </c>
      <c r="I234" s="55">
        <f t="shared" si="10"/>
        <v>48019.34850341663</v>
      </c>
      <c r="J234" s="29"/>
      <c r="K234" s="54">
        <f t="shared" si="9"/>
        <v>0</v>
      </c>
      <c r="L234" s="15"/>
      <c r="M234" s="49"/>
      <c r="N234" s="49">
        <f t="shared" si="11"/>
        <v>0</v>
      </c>
    </row>
    <row r="235" spans="2:14" s="16" customFormat="1" ht="15.75" customHeight="1">
      <c r="B235" s="7">
        <v>2023</v>
      </c>
      <c r="C235" s="7" t="s">
        <v>30</v>
      </c>
      <c r="D235" s="2" t="s">
        <v>15</v>
      </c>
      <c r="E235" s="2" t="s">
        <v>15</v>
      </c>
      <c r="F235" s="7" t="s">
        <v>18</v>
      </c>
      <c r="G235" s="52">
        <v>0.19999999999999998</v>
      </c>
      <c r="H235" s="30">
        <v>252733</v>
      </c>
      <c r="I235" s="55">
        <f t="shared" si="10"/>
        <v>50546.6</v>
      </c>
      <c r="J235" s="29"/>
      <c r="K235" s="54">
        <f t="shared" si="9"/>
        <v>0</v>
      </c>
      <c r="L235" s="15"/>
      <c r="M235" s="49"/>
      <c r="N235" s="49">
        <f t="shared" si="11"/>
        <v>0</v>
      </c>
    </row>
    <row r="236" spans="2:14" s="16" customFormat="1" ht="15.75" customHeight="1">
      <c r="B236" s="7">
        <v>2023</v>
      </c>
      <c r="C236" s="7" t="s">
        <v>30</v>
      </c>
      <c r="D236" s="2" t="s">
        <v>15</v>
      </c>
      <c r="E236" s="2" t="s">
        <v>15</v>
      </c>
      <c r="F236" s="7" t="s">
        <v>19</v>
      </c>
      <c r="G236" s="52">
        <v>0.26999999999999996</v>
      </c>
      <c r="H236" s="30">
        <v>252733</v>
      </c>
      <c r="I236" s="55">
        <f t="shared" si="10"/>
        <v>68237.909999999989</v>
      </c>
      <c r="J236" s="29"/>
      <c r="K236" s="54">
        <f t="shared" si="9"/>
        <v>0</v>
      </c>
      <c r="L236" s="15"/>
      <c r="M236" s="49"/>
      <c r="N236" s="49">
        <f t="shared" si="11"/>
        <v>0</v>
      </c>
    </row>
    <row r="237" spans="2:14" s="16" customFormat="1" ht="15.75" customHeight="1">
      <c r="B237" s="7">
        <v>2023</v>
      </c>
      <c r="C237" s="7" t="s">
        <v>30</v>
      </c>
      <c r="D237" s="2" t="s">
        <v>15</v>
      </c>
      <c r="E237" s="2" t="s">
        <v>15</v>
      </c>
      <c r="F237" s="22" t="s">
        <v>20</v>
      </c>
      <c r="G237" s="53">
        <v>1</v>
      </c>
      <c r="H237" s="30">
        <v>252733</v>
      </c>
      <c r="I237" s="55">
        <f t="shared" si="10"/>
        <v>252733</v>
      </c>
      <c r="J237" s="29">
        <v>89401</v>
      </c>
      <c r="K237" s="54">
        <f t="shared" si="9"/>
        <v>2.8269594299840048</v>
      </c>
      <c r="L237" s="15"/>
      <c r="M237" s="49"/>
      <c r="N237" s="49">
        <f t="shared" si="11"/>
        <v>0</v>
      </c>
    </row>
    <row r="238" spans="2:14" s="16" customFormat="1" ht="15.75" customHeight="1">
      <c r="B238" s="7">
        <v>2023</v>
      </c>
      <c r="C238" s="7" t="s">
        <v>31</v>
      </c>
      <c r="D238" s="2" t="s">
        <v>15</v>
      </c>
      <c r="E238" s="2" t="s">
        <v>15</v>
      </c>
      <c r="F238" s="7" t="s">
        <v>16</v>
      </c>
      <c r="G238" s="52">
        <v>0.33999999999999997</v>
      </c>
      <c r="H238" s="29">
        <v>237178</v>
      </c>
      <c r="I238" s="55">
        <f t="shared" si="10"/>
        <v>80640.51999999999</v>
      </c>
      <c r="J238" s="29"/>
      <c r="K238" s="54">
        <f t="shared" si="9"/>
        <v>0</v>
      </c>
      <c r="L238" s="15"/>
      <c r="M238" s="49"/>
      <c r="N238" s="49">
        <f t="shared" si="11"/>
        <v>0</v>
      </c>
    </row>
    <row r="239" spans="2:14" s="16" customFormat="1" ht="15.75" customHeight="1">
      <c r="B239" s="7">
        <v>2023</v>
      </c>
      <c r="C239" s="7" t="s">
        <v>31</v>
      </c>
      <c r="D239" s="2" t="s">
        <v>15</v>
      </c>
      <c r="E239" s="2" t="s">
        <v>15</v>
      </c>
      <c r="F239" s="7" t="s">
        <v>17</v>
      </c>
      <c r="G239" s="52">
        <v>0.19000031061799064</v>
      </c>
      <c r="H239" s="29">
        <v>237178</v>
      </c>
      <c r="I239" s="55">
        <f t="shared" si="10"/>
        <v>45063.89367175378</v>
      </c>
      <c r="J239" s="29"/>
      <c r="K239" s="54">
        <f t="shared" si="9"/>
        <v>0</v>
      </c>
      <c r="L239" s="15"/>
      <c r="M239" s="49"/>
      <c r="N239" s="49">
        <f t="shared" si="11"/>
        <v>0</v>
      </c>
    </row>
    <row r="240" spans="2:14" s="16" customFormat="1" ht="15.75" customHeight="1">
      <c r="B240" s="7">
        <v>2023</v>
      </c>
      <c r="C240" s="7" t="s">
        <v>31</v>
      </c>
      <c r="D240" s="2" t="s">
        <v>15</v>
      </c>
      <c r="E240" s="2" t="s">
        <v>15</v>
      </c>
      <c r="F240" s="7" t="s">
        <v>18</v>
      </c>
      <c r="G240" s="52">
        <v>0.19999999999999998</v>
      </c>
      <c r="H240" s="29">
        <v>237178</v>
      </c>
      <c r="I240" s="55">
        <f t="shared" si="10"/>
        <v>47435.6</v>
      </c>
      <c r="J240" s="29"/>
      <c r="K240" s="54">
        <f t="shared" si="9"/>
        <v>0</v>
      </c>
      <c r="L240" s="15"/>
      <c r="M240" s="49"/>
      <c r="N240" s="49">
        <f t="shared" si="11"/>
        <v>0</v>
      </c>
    </row>
    <row r="241" spans="2:14" s="16" customFormat="1" ht="15.75" customHeight="1">
      <c r="B241" s="7">
        <v>2023</v>
      </c>
      <c r="C241" s="7" t="s">
        <v>31</v>
      </c>
      <c r="D241" s="2" t="s">
        <v>15</v>
      </c>
      <c r="E241" s="2" t="s">
        <v>15</v>
      </c>
      <c r="F241" s="7" t="s">
        <v>19</v>
      </c>
      <c r="G241" s="52">
        <v>0.26999999999999996</v>
      </c>
      <c r="H241" s="29">
        <v>237178</v>
      </c>
      <c r="I241" s="55">
        <f t="shared" si="10"/>
        <v>64038.05999999999</v>
      </c>
      <c r="J241" s="29"/>
      <c r="K241" s="54">
        <f t="shared" si="9"/>
        <v>0</v>
      </c>
      <c r="L241" s="15"/>
      <c r="M241" s="49"/>
      <c r="N241" s="49">
        <f t="shared" si="11"/>
        <v>0</v>
      </c>
    </row>
    <row r="242" spans="2:14" s="16" customFormat="1" ht="15.75" customHeight="1">
      <c r="B242" s="7">
        <v>2023</v>
      </c>
      <c r="C242" s="7" t="s">
        <v>31</v>
      </c>
      <c r="D242" s="2" t="s">
        <v>15</v>
      </c>
      <c r="E242" s="2" t="s">
        <v>15</v>
      </c>
      <c r="F242" s="22" t="s">
        <v>20</v>
      </c>
      <c r="G242" s="53">
        <v>1</v>
      </c>
      <c r="H242" s="29">
        <v>237178</v>
      </c>
      <c r="I242" s="55">
        <f t="shared" si="10"/>
        <v>237178</v>
      </c>
      <c r="J242" s="29">
        <v>102993</v>
      </c>
      <c r="K242" s="54">
        <f t="shared" si="9"/>
        <v>2.302855533871234</v>
      </c>
      <c r="L242" s="15"/>
      <c r="M242" s="49"/>
      <c r="N242" s="49">
        <f t="shared" si="11"/>
        <v>0</v>
      </c>
    </row>
    <row r="243" spans="2:14" s="16" customFormat="1" ht="15.75" customHeight="1">
      <c r="B243" s="7">
        <v>2023</v>
      </c>
      <c r="C243" s="7" t="s">
        <v>14</v>
      </c>
      <c r="D243" s="2" t="s">
        <v>15</v>
      </c>
      <c r="E243" s="2" t="s">
        <v>15</v>
      </c>
      <c r="F243" s="7" t="s">
        <v>16</v>
      </c>
      <c r="G243" s="52">
        <v>0.33999999999999997</v>
      </c>
      <c r="H243" s="29">
        <v>273589</v>
      </c>
      <c r="I243" s="55">
        <f t="shared" si="10"/>
        <v>93020.26</v>
      </c>
      <c r="J243" s="29">
        <v>37897.115999999995</v>
      </c>
      <c r="K243" s="54">
        <f t="shared" si="9"/>
        <v>2.4545472009004592</v>
      </c>
      <c r="L243" s="15"/>
      <c r="M243" s="49"/>
      <c r="N243" s="49">
        <f t="shared" si="11"/>
        <v>0</v>
      </c>
    </row>
    <row r="244" spans="2:14" s="16" customFormat="1" ht="15.75" customHeight="1">
      <c r="B244" s="7">
        <v>2023</v>
      </c>
      <c r="C244" s="7" t="s">
        <v>14</v>
      </c>
      <c r="D244" s="2" t="s">
        <v>15</v>
      </c>
      <c r="E244" s="2" t="s">
        <v>15</v>
      </c>
      <c r="F244" s="7" t="s">
        <v>17</v>
      </c>
      <c r="G244" s="52">
        <v>0.19000031061799064</v>
      </c>
      <c r="H244" s="29">
        <v>273589</v>
      </c>
      <c r="I244" s="55">
        <f t="shared" si="10"/>
        <v>51981.994981665441</v>
      </c>
      <c r="J244" s="29">
        <v>23657.112000000117</v>
      </c>
      <c r="K244" s="54">
        <f t="shared" si="9"/>
        <v>2.1973094172131065</v>
      </c>
      <c r="L244" s="15"/>
      <c r="M244" s="49"/>
      <c r="N244" s="49">
        <f t="shared" si="11"/>
        <v>0</v>
      </c>
    </row>
    <row r="245" spans="2:14" s="16" customFormat="1" ht="15.75" customHeight="1">
      <c r="B245" s="7">
        <v>2023</v>
      </c>
      <c r="C245" s="7" t="s">
        <v>14</v>
      </c>
      <c r="D245" s="2" t="s">
        <v>15</v>
      </c>
      <c r="E245" s="2" t="s">
        <v>15</v>
      </c>
      <c r="F245" s="7" t="s">
        <v>18</v>
      </c>
      <c r="G245" s="52">
        <v>0.19999999999999998</v>
      </c>
      <c r="H245" s="29">
        <v>273589</v>
      </c>
      <c r="I245" s="55">
        <f t="shared" si="10"/>
        <v>54717.799999999996</v>
      </c>
      <c r="J245" s="29">
        <v>30621.35400000013</v>
      </c>
      <c r="K245" s="54">
        <f t="shared" si="9"/>
        <v>1.786916411338302</v>
      </c>
      <c r="L245" s="15"/>
      <c r="M245" s="49"/>
      <c r="N245" s="49">
        <f t="shared" si="11"/>
        <v>0</v>
      </c>
    </row>
    <row r="246" spans="2:14" s="16" customFormat="1" ht="15.75" customHeight="1">
      <c r="B246" s="7">
        <v>2023</v>
      </c>
      <c r="C246" s="7" t="s">
        <v>14</v>
      </c>
      <c r="D246" s="2" t="s">
        <v>15</v>
      </c>
      <c r="E246" s="2" t="s">
        <v>15</v>
      </c>
      <c r="F246" s="7" t="s">
        <v>19</v>
      </c>
      <c r="G246" s="52">
        <v>0.26999999999999996</v>
      </c>
      <c r="H246" s="29">
        <v>273589</v>
      </c>
      <c r="I246" s="55">
        <f t="shared" si="10"/>
        <v>73869.029999999984</v>
      </c>
      <c r="J246" s="29">
        <v>33845.444400000088</v>
      </c>
      <c r="K246" s="54">
        <f t="shared" si="9"/>
        <v>2.1825398162004865</v>
      </c>
      <c r="L246" s="15"/>
      <c r="M246" s="49"/>
      <c r="N246" s="49">
        <f t="shared" si="11"/>
        <v>0</v>
      </c>
    </row>
    <row r="247" spans="2:14" s="16" customFormat="1" ht="15.75" customHeight="1">
      <c r="B247" s="7">
        <v>2023</v>
      </c>
      <c r="C247" s="7" t="s">
        <v>14</v>
      </c>
      <c r="D247" s="2" t="s">
        <v>15</v>
      </c>
      <c r="E247" s="2" t="s">
        <v>15</v>
      </c>
      <c r="F247" s="22" t="s">
        <v>20</v>
      </c>
      <c r="G247" s="53">
        <v>1</v>
      </c>
      <c r="H247" s="29">
        <v>273589</v>
      </c>
      <c r="I247" s="55">
        <f t="shared" si="10"/>
        <v>273589</v>
      </c>
      <c r="J247" s="29">
        <f>SUM(J243:J246)</f>
        <v>126021.02640000032</v>
      </c>
      <c r="K247" s="54">
        <f t="shared" si="9"/>
        <v>2.1709789851386203</v>
      </c>
      <c r="L247" s="15"/>
      <c r="M247" s="49"/>
      <c r="N247" s="49">
        <f t="shared" si="11"/>
        <v>0</v>
      </c>
    </row>
    <row r="248" spans="2:14" s="16" customFormat="1" ht="15.75" customHeight="1">
      <c r="B248" s="7">
        <v>2023</v>
      </c>
      <c r="C248" s="7" t="s">
        <v>21</v>
      </c>
      <c r="D248" s="2" t="s">
        <v>15</v>
      </c>
      <c r="E248" s="2" t="s">
        <v>15</v>
      </c>
      <c r="F248" s="7" t="s">
        <v>16</v>
      </c>
      <c r="G248" s="52">
        <v>0.33999999999999997</v>
      </c>
      <c r="H248" s="29">
        <v>246022</v>
      </c>
      <c r="I248" s="55">
        <f t="shared" si="10"/>
        <v>83647.48</v>
      </c>
      <c r="J248" s="29">
        <v>40600.968000000292</v>
      </c>
      <c r="K248" s="54">
        <f t="shared" si="9"/>
        <v>2.0602336377792616</v>
      </c>
      <c r="L248" s="15"/>
      <c r="M248" s="49"/>
      <c r="N248" s="49">
        <f t="shared" si="11"/>
        <v>0</v>
      </c>
    </row>
    <row r="249" spans="2:14" s="16" customFormat="1" ht="15.75" customHeight="1">
      <c r="B249" s="7">
        <v>2023</v>
      </c>
      <c r="C249" s="7" t="s">
        <v>21</v>
      </c>
      <c r="D249" s="2" t="s">
        <v>15</v>
      </c>
      <c r="E249" s="2" t="s">
        <v>15</v>
      </c>
      <c r="F249" s="7" t="s">
        <v>17</v>
      </c>
      <c r="G249" s="52">
        <v>0.19000031061799064</v>
      </c>
      <c r="H249" s="29">
        <v>246022</v>
      </c>
      <c r="I249" s="55">
        <f t="shared" si="10"/>
        <v>46744.256418859295</v>
      </c>
      <c r="J249" s="29">
        <v>24058.548000000108</v>
      </c>
      <c r="K249" s="54">
        <f t="shared" si="9"/>
        <v>1.9429375546212966</v>
      </c>
      <c r="L249" s="15"/>
      <c r="M249" s="49"/>
      <c r="N249" s="49">
        <f t="shared" si="11"/>
        <v>0</v>
      </c>
    </row>
    <row r="250" spans="2:14" s="16" customFormat="1" ht="15.75" customHeight="1">
      <c r="B250" s="7">
        <v>2023</v>
      </c>
      <c r="C250" s="7" t="s">
        <v>21</v>
      </c>
      <c r="D250" s="2" t="s">
        <v>15</v>
      </c>
      <c r="E250" s="2" t="s">
        <v>15</v>
      </c>
      <c r="F250" s="7" t="s">
        <v>18</v>
      </c>
      <c r="G250" s="52">
        <v>0.19999999999999998</v>
      </c>
      <c r="H250" s="29">
        <v>246022</v>
      </c>
      <c r="I250" s="55">
        <f t="shared" si="10"/>
        <v>49204.399999999994</v>
      </c>
      <c r="J250" s="29">
        <v>34368.090000000215</v>
      </c>
      <c r="K250" s="54">
        <f t="shared" si="9"/>
        <v>1.4316885226964806</v>
      </c>
      <c r="L250" s="15"/>
      <c r="M250" s="49"/>
      <c r="N250" s="49">
        <f t="shared" si="11"/>
        <v>0</v>
      </c>
    </row>
    <row r="251" spans="2:14" s="16" customFormat="1" ht="15.75" customHeight="1">
      <c r="B251" s="7">
        <v>2023</v>
      </c>
      <c r="C251" s="7" t="s">
        <v>21</v>
      </c>
      <c r="D251" s="2" t="s">
        <v>15</v>
      </c>
      <c r="E251" s="2" t="s">
        <v>15</v>
      </c>
      <c r="F251" s="7" t="s">
        <v>19</v>
      </c>
      <c r="G251" s="52">
        <v>0.26999999999999996</v>
      </c>
      <c r="H251" s="29">
        <v>246022</v>
      </c>
      <c r="I251" s="55">
        <f t="shared" si="10"/>
        <v>66425.939999999988</v>
      </c>
      <c r="J251" s="29">
        <v>34856.875500000162</v>
      </c>
      <c r="K251" s="54">
        <f t="shared" si="9"/>
        <v>1.9056768298122326</v>
      </c>
      <c r="L251" s="15"/>
      <c r="M251" s="49"/>
      <c r="N251" s="49">
        <f t="shared" si="11"/>
        <v>0</v>
      </c>
    </row>
    <row r="252" spans="2:14" s="16" customFormat="1" ht="15.75" customHeight="1">
      <c r="B252" s="7">
        <v>2023</v>
      </c>
      <c r="C252" s="7" t="s">
        <v>21</v>
      </c>
      <c r="D252" s="2" t="s">
        <v>15</v>
      </c>
      <c r="E252" s="2" t="s">
        <v>15</v>
      </c>
      <c r="F252" s="22" t="s">
        <v>20</v>
      </c>
      <c r="G252" s="53">
        <v>1</v>
      </c>
      <c r="H252" s="29">
        <v>246022</v>
      </c>
      <c r="I252" s="55">
        <f t="shared" si="10"/>
        <v>246022</v>
      </c>
      <c r="J252" s="29">
        <f>SUM(J248:J251)</f>
        <v>133884.48150000078</v>
      </c>
      <c r="K252" s="54">
        <f t="shared" si="9"/>
        <v>1.8375692032687041</v>
      </c>
      <c r="L252" s="15"/>
      <c r="M252" s="49"/>
      <c r="N252" s="49">
        <f t="shared" si="11"/>
        <v>0</v>
      </c>
    </row>
    <row r="253" spans="2:14" s="16" customFormat="1" ht="15.75" customHeight="1">
      <c r="B253" s="7">
        <v>2023</v>
      </c>
      <c r="C253" s="7" t="s">
        <v>22</v>
      </c>
      <c r="D253" s="2" t="s">
        <v>15</v>
      </c>
      <c r="E253" s="2" t="s">
        <v>15</v>
      </c>
      <c r="F253" s="7" t="s">
        <v>16</v>
      </c>
      <c r="G253" s="52">
        <v>0.33999999999999997</v>
      </c>
      <c r="H253" s="29">
        <v>246140</v>
      </c>
      <c r="I253" s="55">
        <f t="shared" si="10"/>
        <v>83687.599999999991</v>
      </c>
      <c r="J253" s="29">
        <v>37873.751999999993</v>
      </c>
      <c r="K253" s="54">
        <f t="shared" si="9"/>
        <v>2.2096464063027081</v>
      </c>
      <c r="L253" s="15"/>
      <c r="M253" s="49"/>
      <c r="N253" s="49">
        <f t="shared" si="11"/>
        <v>0</v>
      </c>
    </row>
    <row r="254" spans="2:14" s="16" customFormat="1" ht="15.75" customHeight="1">
      <c r="B254" s="7">
        <v>2023</v>
      </c>
      <c r="C254" s="7" t="s">
        <v>22</v>
      </c>
      <c r="D254" s="2" t="s">
        <v>15</v>
      </c>
      <c r="E254" s="2" t="s">
        <v>15</v>
      </c>
      <c r="F254" s="7" t="s">
        <v>17</v>
      </c>
      <c r="G254" s="52">
        <v>0.19000031061799064</v>
      </c>
      <c r="H254" s="29">
        <v>246140</v>
      </c>
      <c r="I254" s="55">
        <f t="shared" si="10"/>
        <v>46766.676455512214</v>
      </c>
      <c r="J254" s="29">
        <v>26363.796000000031</v>
      </c>
      <c r="K254" s="54">
        <f t="shared" si="9"/>
        <v>1.7738976760217746</v>
      </c>
      <c r="L254" s="15"/>
      <c r="M254" s="49"/>
      <c r="N254" s="49">
        <f t="shared" si="11"/>
        <v>0</v>
      </c>
    </row>
    <row r="255" spans="2:14" s="16" customFormat="1" ht="15.75" customHeight="1">
      <c r="B255" s="7">
        <v>2023</v>
      </c>
      <c r="C255" s="7" t="s">
        <v>22</v>
      </c>
      <c r="D255" s="2" t="s">
        <v>15</v>
      </c>
      <c r="E255" s="2" t="s">
        <v>15</v>
      </c>
      <c r="F255" s="7" t="s">
        <v>18</v>
      </c>
      <c r="G255" s="52">
        <v>0.19999999999999998</v>
      </c>
      <c r="H255" s="29">
        <v>246140</v>
      </c>
      <c r="I255" s="55">
        <f t="shared" si="10"/>
        <v>49227.999999999993</v>
      </c>
      <c r="J255" s="29">
        <v>36118.974000000075</v>
      </c>
      <c r="K255" s="54">
        <f t="shared" si="9"/>
        <v>1.3629401543908719</v>
      </c>
      <c r="L255" s="15"/>
      <c r="M255" s="49"/>
      <c r="N255" s="49">
        <f t="shared" si="11"/>
        <v>0</v>
      </c>
    </row>
    <row r="256" spans="2:14" s="16" customFormat="1" ht="15.75" customHeight="1">
      <c r="B256" s="7">
        <v>2023</v>
      </c>
      <c r="C256" s="7" t="s">
        <v>22</v>
      </c>
      <c r="D256" s="2" t="s">
        <v>15</v>
      </c>
      <c r="E256" s="2" t="s">
        <v>15</v>
      </c>
      <c r="F256" s="7" t="s">
        <v>19</v>
      </c>
      <c r="G256" s="52">
        <v>0.26999999999999996</v>
      </c>
      <c r="H256" s="29">
        <v>246140</v>
      </c>
      <c r="I256" s="55">
        <f t="shared" si="10"/>
        <v>66457.799999999988</v>
      </c>
      <c r="J256" s="29">
        <v>32505.34199999991</v>
      </c>
      <c r="K256" s="54">
        <f t="shared" si="9"/>
        <v>2.0445193285460639</v>
      </c>
      <c r="L256" s="15"/>
      <c r="M256" s="49"/>
      <c r="N256" s="49">
        <f t="shared" si="11"/>
        <v>0</v>
      </c>
    </row>
    <row r="257" spans="2:14" s="16" customFormat="1" ht="15.75" customHeight="1">
      <c r="B257" s="7">
        <v>2023</v>
      </c>
      <c r="C257" s="7" t="s">
        <v>22</v>
      </c>
      <c r="D257" s="2" t="s">
        <v>15</v>
      </c>
      <c r="E257" s="2" t="s">
        <v>15</v>
      </c>
      <c r="F257" s="22" t="s">
        <v>20</v>
      </c>
      <c r="G257" s="53">
        <v>1</v>
      </c>
      <c r="H257" s="29">
        <v>246140</v>
      </c>
      <c r="I257" s="55">
        <f t="shared" si="10"/>
        <v>246140</v>
      </c>
      <c r="J257" s="29">
        <f>SUM(J253:J256)</f>
        <v>132861.864</v>
      </c>
      <c r="K257" s="54">
        <f t="shared" si="9"/>
        <v>1.8526008335996249</v>
      </c>
      <c r="L257" s="15"/>
      <c r="M257" s="49"/>
      <c r="N257" s="49">
        <f t="shared" si="11"/>
        <v>0</v>
      </c>
    </row>
    <row r="258" spans="2:14" s="16" customFormat="1" ht="15.75" customHeight="1">
      <c r="B258" s="7">
        <v>2024</v>
      </c>
      <c r="C258" s="7" t="s">
        <v>23</v>
      </c>
      <c r="D258" s="2" t="s">
        <v>15</v>
      </c>
      <c r="E258" s="2" t="s">
        <v>15</v>
      </c>
      <c r="F258" s="7" t="s">
        <v>16</v>
      </c>
      <c r="G258" s="52">
        <v>0.33999999999999997</v>
      </c>
      <c r="H258" s="29">
        <v>235297</v>
      </c>
      <c r="I258" s="55">
        <f t="shared" si="10"/>
        <v>80000.98</v>
      </c>
      <c r="J258" s="29">
        <v>34843.865999999827</v>
      </c>
      <c r="K258" s="54">
        <f t="shared" si="9"/>
        <v>2.2959846074485646</v>
      </c>
      <c r="L258" s="15"/>
      <c r="M258" s="49"/>
      <c r="N258" s="49">
        <f t="shared" si="11"/>
        <v>0</v>
      </c>
    </row>
    <row r="259" spans="2:14" s="16" customFormat="1" ht="15.75" customHeight="1">
      <c r="B259" s="7">
        <v>2024</v>
      </c>
      <c r="C259" s="7" t="s">
        <v>23</v>
      </c>
      <c r="D259" s="2" t="s">
        <v>15</v>
      </c>
      <c r="E259" s="2" t="s">
        <v>15</v>
      </c>
      <c r="F259" s="7" t="s">
        <v>17</v>
      </c>
      <c r="G259" s="52">
        <v>0.19000031061799064</v>
      </c>
      <c r="H259" s="29">
        <v>235297</v>
      </c>
      <c r="I259" s="55">
        <f t="shared" si="10"/>
        <v>44706.503087481346</v>
      </c>
      <c r="J259" s="29">
        <v>23685.078000000096</v>
      </c>
      <c r="K259" s="54">
        <f t="shared" si="9"/>
        <v>1.8875387738846021</v>
      </c>
      <c r="L259" s="15"/>
      <c r="M259" s="49"/>
      <c r="N259" s="49">
        <f t="shared" si="11"/>
        <v>0</v>
      </c>
    </row>
    <row r="260" spans="2:14" s="16" customFormat="1" ht="15.75" customHeight="1">
      <c r="B260" s="7">
        <v>2024</v>
      </c>
      <c r="C260" s="7" t="s">
        <v>23</v>
      </c>
      <c r="D260" s="2" t="s">
        <v>15</v>
      </c>
      <c r="E260" s="2" t="s">
        <v>15</v>
      </c>
      <c r="F260" s="7" t="s">
        <v>18</v>
      </c>
      <c r="G260" s="52">
        <v>0.19999999999999998</v>
      </c>
      <c r="H260" s="29">
        <v>235297</v>
      </c>
      <c r="I260" s="55">
        <f t="shared" si="10"/>
        <v>47059.399999999994</v>
      </c>
      <c r="J260" s="29">
        <v>32930.496000000108</v>
      </c>
      <c r="K260" s="54">
        <f t="shared" ref="K260:K323" si="12">IFERROR(I260/J260,0)</f>
        <v>1.4290522681468216</v>
      </c>
      <c r="L260" s="15"/>
      <c r="M260" s="49"/>
      <c r="N260" s="49">
        <f t="shared" si="11"/>
        <v>0</v>
      </c>
    </row>
    <row r="261" spans="2:14" s="16" customFormat="1" ht="15.75" customHeight="1">
      <c r="B261" s="7">
        <v>2024</v>
      </c>
      <c r="C261" s="7" t="s">
        <v>23</v>
      </c>
      <c r="D261" s="2" t="s">
        <v>15</v>
      </c>
      <c r="E261" s="2" t="s">
        <v>15</v>
      </c>
      <c r="F261" s="7" t="s">
        <v>19</v>
      </c>
      <c r="G261" s="52">
        <v>0.26999999999999996</v>
      </c>
      <c r="H261" s="29">
        <v>235297</v>
      </c>
      <c r="I261" s="55">
        <f t="shared" si="10"/>
        <v>63530.189999999988</v>
      </c>
      <c r="J261" s="29">
        <v>31918.746299999963</v>
      </c>
      <c r="K261" s="54">
        <f t="shared" si="12"/>
        <v>1.9903723474251889</v>
      </c>
      <c r="L261" s="15"/>
      <c r="M261" s="49"/>
      <c r="N261" s="49">
        <f t="shared" si="11"/>
        <v>0</v>
      </c>
    </row>
    <row r="262" spans="2:14" s="16" customFormat="1" ht="15.75" customHeight="1">
      <c r="B262" s="7">
        <v>2024</v>
      </c>
      <c r="C262" s="7" t="s">
        <v>23</v>
      </c>
      <c r="D262" s="2" t="s">
        <v>15</v>
      </c>
      <c r="E262" s="2" t="s">
        <v>15</v>
      </c>
      <c r="F262" s="22" t="s">
        <v>20</v>
      </c>
      <c r="G262" s="53">
        <v>1</v>
      </c>
      <c r="H262" s="29">
        <v>235297</v>
      </c>
      <c r="I262" s="55">
        <f t="shared" si="10"/>
        <v>235297</v>
      </c>
      <c r="J262" s="29">
        <f>SUM(J258:J261)</f>
        <v>123378.1863</v>
      </c>
      <c r="K262" s="54">
        <f t="shared" si="12"/>
        <v>1.9071199460483559</v>
      </c>
      <c r="L262" s="15"/>
      <c r="M262" s="49"/>
      <c r="N262" s="49">
        <f t="shared" si="11"/>
        <v>0</v>
      </c>
    </row>
    <row r="263" spans="2:14" s="16" customFormat="1" ht="15.75" customHeight="1">
      <c r="B263" s="7">
        <v>2024</v>
      </c>
      <c r="C263" s="7" t="s">
        <v>24</v>
      </c>
      <c r="D263" s="2" t="s">
        <v>15</v>
      </c>
      <c r="E263" s="2" t="s">
        <v>15</v>
      </c>
      <c r="F263" s="7" t="s">
        <v>16</v>
      </c>
      <c r="G263" s="52">
        <v>0.33999999999999997</v>
      </c>
      <c r="H263" s="30">
        <v>233655</v>
      </c>
      <c r="I263" s="55">
        <f t="shared" si="10"/>
        <v>79442.7</v>
      </c>
      <c r="J263" s="29">
        <v>38096.77199999991</v>
      </c>
      <c r="K263" s="54">
        <f t="shared" si="12"/>
        <v>2.0852869109225365</v>
      </c>
      <c r="L263" s="15"/>
      <c r="M263" s="49">
        <v>455.92172674403128</v>
      </c>
      <c r="N263" s="49">
        <f t="shared" si="11"/>
        <v>36219652.961208053</v>
      </c>
    </row>
    <row r="264" spans="2:14" s="16" customFormat="1" ht="15.75" customHeight="1">
      <c r="B264" s="7">
        <v>2024</v>
      </c>
      <c r="C264" s="7" t="s">
        <v>24</v>
      </c>
      <c r="D264" s="2" t="s">
        <v>15</v>
      </c>
      <c r="E264" s="2" t="s">
        <v>15</v>
      </c>
      <c r="F264" s="7" t="s">
        <v>17</v>
      </c>
      <c r="G264" s="52">
        <v>0.19000031061799064</v>
      </c>
      <c r="H264" s="30">
        <v>233655</v>
      </c>
      <c r="I264" s="55">
        <f t="shared" ref="I264:I327" si="13">G264*H264</f>
        <v>44394.522577446602</v>
      </c>
      <c r="J264" s="29">
        <v>27087.726000000152</v>
      </c>
      <c r="K264" s="54">
        <f t="shared" si="12"/>
        <v>1.638916554953574</v>
      </c>
      <c r="L264" s="15"/>
      <c r="M264" s="49">
        <v>455.92172674403128</v>
      </c>
      <c r="N264" s="49">
        <f t="shared" si="11"/>
        <v>20240427.391486336</v>
      </c>
    </row>
    <row r="265" spans="2:14" s="16" customFormat="1" ht="15.75" customHeight="1">
      <c r="B265" s="7">
        <v>2024</v>
      </c>
      <c r="C265" s="7" t="s">
        <v>24</v>
      </c>
      <c r="D265" s="2" t="s">
        <v>15</v>
      </c>
      <c r="E265" s="2" t="s">
        <v>15</v>
      </c>
      <c r="F265" s="7" t="s">
        <v>18</v>
      </c>
      <c r="G265" s="52">
        <v>0.19999999999999998</v>
      </c>
      <c r="H265" s="30">
        <v>233655</v>
      </c>
      <c r="I265" s="55">
        <f t="shared" si="13"/>
        <v>46730.999999999993</v>
      </c>
      <c r="J265" s="29">
        <v>30359.748000000032</v>
      </c>
      <c r="K265" s="54">
        <f t="shared" si="12"/>
        <v>1.5392420253290622</v>
      </c>
      <c r="L265" s="15"/>
      <c r="M265" s="49">
        <v>455.92172674403128</v>
      </c>
      <c r="N265" s="49">
        <f t="shared" si="11"/>
        <v>21305678.212475322</v>
      </c>
    </row>
    <row r="266" spans="2:14" s="16" customFormat="1" ht="15.75" customHeight="1">
      <c r="B266" s="7">
        <v>2024</v>
      </c>
      <c r="C266" s="7" t="s">
        <v>24</v>
      </c>
      <c r="D266" s="2" t="s">
        <v>15</v>
      </c>
      <c r="E266" s="2" t="s">
        <v>15</v>
      </c>
      <c r="F266" s="7" t="s">
        <v>19</v>
      </c>
      <c r="G266" s="52">
        <v>0.26999999999999996</v>
      </c>
      <c r="H266" s="30">
        <v>233655</v>
      </c>
      <c r="I266" s="55">
        <f t="shared" si="13"/>
        <v>63086.849999999991</v>
      </c>
      <c r="J266" s="29">
        <v>32620.76369999993</v>
      </c>
      <c r="K266" s="54">
        <f t="shared" si="12"/>
        <v>1.9339476714948929</v>
      </c>
      <c r="L266" s="15"/>
      <c r="M266" s="49">
        <v>455.92172674403128</v>
      </c>
      <c r="N266" s="49">
        <f t="shared" si="11"/>
        <v>28762665.586841684</v>
      </c>
    </row>
    <row r="267" spans="2:14" s="16" customFormat="1" ht="15.75" customHeight="1">
      <c r="B267" s="7">
        <v>2024</v>
      </c>
      <c r="C267" s="7" t="s">
        <v>24</v>
      </c>
      <c r="D267" s="2" t="s">
        <v>15</v>
      </c>
      <c r="E267" s="2" t="s">
        <v>15</v>
      </c>
      <c r="F267" s="22" t="s">
        <v>20</v>
      </c>
      <c r="G267" s="53">
        <v>1</v>
      </c>
      <c r="H267" s="30">
        <v>233655</v>
      </c>
      <c r="I267" s="55">
        <f t="shared" si="13"/>
        <v>233655</v>
      </c>
      <c r="J267" s="29">
        <f>SUM(J263:J266)</f>
        <v>128165.00970000002</v>
      </c>
      <c r="K267" s="54">
        <f t="shared" si="12"/>
        <v>1.8230794859449064</v>
      </c>
      <c r="L267" s="15"/>
      <c r="M267" s="49">
        <v>455.92172674403128</v>
      </c>
      <c r="N267" s="49">
        <f t="shared" si="11"/>
        <v>106528391.06237663</v>
      </c>
    </row>
    <row r="268" spans="2:14" s="16" customFormat="1" ht="15.75" customHeight="1">
      <c r="B268" s="7">
        <v>2024</v>
      </c>
      <c r="C268" s="7" t="s">
        <v>25</v>
      </c>
      <c r="D268" s="2" t="s">
        <v>15</v>
      </c>
      <c r="E268" s="2" t="s">
        <v>15</v>
      </c>
      <c r="F268" s="7" t="s">
        <v>16</v>
      </c>
      <c r="G268" s="52">
        <v>0.33999999999999997</v>
      </c>
      <c r="H268" s="29">
        <v>262089</v>
      </c>
      <c r="I268" s="55">
        <f t="shared" si="13"/>
        <v>89110.26</v>
      </c>
      <c r="J268" s="29">
        <v>38190.228000000039</v>
      </c>
      <c r="K268" s="54">
        <f t="shared" si="12"/>
        <v>2.3333262110925315</v>
      </c>
      <c r="L268" s="15"/>
      <c r="M268" s="49">
        <v>453.09662786373968</v>
      </c>
      <c r="N268" s="49">
        <f>I268*M268</f>
        <v>40375558.314061083</v>
      </c>
    </row>
    <row r="269" spans="2:14" s="16" customFormat="1" ht="15.75" customHeight="1">
      <c r="B269" s="7">
        <v>2024</v>
      </c>
      <c r="C269" s="7" t="s">
        <v>25</v>
      </c>
      <c r="D269" s="2" t="s">
        <v>15</v>
      </c>
      <c r="E269" s="2" t="s">
        <v>15</v>
      </c>
      <c r="F269" s="7" t="s">
        <v>17</v>
      </c>
      <c r="G269" s="52">
        <v>0.19000031061799064</v>
      </c>
      <c r="H269" s="29">
        <v>262089</v>
      </c>
      <c r="I269" s="55">
        <f t="shared" si="13"/>
        <v>49796.991409558548</v>
      </c>
      <c r="J269" s="29">
        <v>24065.628000000077</v>
      </c>
      <c r="K269" s="54">
        <f t="shared" si="12"/>
        <v>2.0692163699014374</v>
      </c>
      <c r="L269" s="15"/>
      <c r="M269" s="49">
        <v>453.09662786373968</v>
      </c>
      <c r="N269" s="49">
        <f t="shared" si="11"/>
        <v>22562848.885430593</v>
      </c>
    </row>
    <row r="270" spans="2:14" s="16" customFormat="1" ht="15.75" customHeight="1">
      <c r="B270" s="7">
        <v>2024</v>
      </c>
      <c r="C270" s="7" t="s">
        <v>25</v>
      </c>
      <c r="D270" s="2" t="s">
        <v>15</v>
      </c>
      <c r="E270" s="2" t="s">
        <v>15</v>
      </c>
      <c r="F270" s="7" t="s">
        <v>18</v>
      </c>
      <c r="G270" s="52">
        <v>0.19999999999999998</v>
      </c>
      <c r="H270" s="29">
        <v>262089</v>
      </c>
      <c r="I270" s="55">
        <f t="shared" si="13"/>
        <v>52417.799999999996</v>
      </c>
      <c r="J270" s="29">
        <v>32873.856000000102</v>
      </c>
      <c r="K270" s="54">
        <f t="shared" si="12"/>
        <v>1.5945132813138756</v>
      </c>
      <c r="L270" s="15"/>
      <c r="M270" s="49">
        <v>453.09662786373968</v>
      </c>
      <c r="N270" s="49">
        <f t="shared" si="11"/>
        <v>23750328.420035932</v>
      </c>
    </row>
    <row r="271" spans="2:14" s="16" customFormat="1" ht="15.75" customHeight="1">
      <c r="B271" s="7">
        <v>2024</v>
      </c>
      <c r="C271" s="7" t="s">
        <v>25</v>
      </c>
      <c r="D271" s="2" t="s">
        <v>15</v>
      </c>
      <c r="E271" s="2" t="s">
        <v>15</v>
      </c>
      <c r="F271" s="7" t="s">
        <v>19</v>
      </c>
      <c r="G271" s="52">
        <v>0.26999999999999996</v>
      </c>
      <c r="H271" s="29">
        <v>262089</v>
      </c>
      <c r="I271" s="55">
        <f t="shared" si="13"/>
        <v>70764.029999999984</v>
      </c>
      <c r="J271" s="29">
        <v>33198.845699999903</v>
      </c>
      <c r="K271" s="54">
        <f t="shared" si="12"/>
        <v>2.1315207956161015</v>
      </c>
      <c r="L271" s="15"/>
      <c r="M271" s="49">
        <v>453.09662786373968</v>
      </c>
      <c r="N271" s="49">
        <f t="shared" si="11"/>
        <v>32062943.367048502</v>
      </c>
    </row>
    <row r="272" spans="2:14" s="16" customFormat="1" ht="15.75" customHeight="1">
      <c r="B272" s="7">
        <v>2024</v>
      </c>
      <c r="C272" s="7" t="s">
        <v>25</v>
      </c>
      <c r="D272" s="2" t="s">
        <v>15</v>
      </c>
      <c r="E272" s="2" t="s">
        <v>15</v>
      </c>
      <c r="F272" s="22" t="s">
        <v>20</v>
      </c>
      <c r="G272" s="53">
        <v>1</v>
      </c>
      <c r="H272" s="29">
        <v>262089</v>
      </c>
      <c r="I272" s="55">
        <f t="shared" si="13"/>
        <v>262089</v>
      </c>
      <c r="J272" s="29">
        <f>SUM(J268:J271)</f>
        <v>128328.55770000012</v>
      </c>
      <c r="K272" s="54">
        <f t="shared" si="12"/>
        <v>2.0423279486449006</v>
      </c>
      <c r="L272" s="15"/>
      <c r="M272" s="49">
        <v>453.09662786373968</v>
      </c>
      <c r="N272" s="49">
        <f t="shared" si="11"/>
        <v>118751642.10017967</v>
      </c>
    </row>
    <row r="273" spans="2:14" s="16" customFormat="1" ht="15.75" customHeight="1">
      <c r="B273" s="7">
        <v>2024</v>
      </c>
      <c r="C273" s="7" t="s">
        <v>26</v>
      </c>
      <c r="D273" s="2" t="s">
        <v>15</v>
      </c>
      <c r="E273" s="2" t="s">
        <v>15</v>
      </c>
      <c r="F273" s="7" t="s">
        <v>16</v>
      </c>
      <c r="G273" s="52">
        <v>0.33999999999999997</v>
      </c>
      <c r="H273" s="29">
        <v>236726</v>
      </c>
      <c r="I273" s="55">
        <f t="shared" si="13"/>
        <v>80486.84</v>
      </c>
      <c r="J273" s="29">
        <v>35162.111999999855</v>
      </c>
      <c r="K273" s="54">
        <f t="shared" si="12"/>
        <v>2.2890217743462147</v>
      </c>
      <c r="L273" s="15"/>
      <c r="M273" s="49">
        <v>481.92101950450046</v>
      </c>
      <c r="N273" s="49">
        <f t="shared" si="11"/>
        <v>38788299.989495605</v>
      </c>
    </row>
    <row r="274" spans="2:14" s="16" customFormat="1" ht="15.75" customHeight="1">
      <c r="B274" s="7">
        <v>2024</v>
      </c>
      <c r="C274" s="7" t="s">
        <v>26</v>
      </c>
      <c r="D274" s="2" t="s">
        <v>15</v>
      </c>
      <c r="E274" s="2" t="s">
        <v>15</v>
      </c>
      <c r="F274" s="7" t="s">
        <v>17</v>
      </c>
      <c r="G274" s="52">
        <v>0.19000031061799064</v>
      </c>
      <c r="H274" s="29">
        <v>236726</v>
      </c>
      <c r="I274" s="55">
        <f t="shared" si="13"/>
        <v>44978.013531354452</v>
      </c>
      <c r="J274" s="29">
        <v>25622.166000000147</v>
      </c>
      <c r="K274" s="54">
        <f t="shared" si="12"/>
        <v>1.7554336948466494</v>
      </c>
      <c r="L274" s="15"/>
      <c r="M274" s="49">
        <v>481.92101950450046</v>
      </c>
      <c r="N274" s="49">
        <f t="shared" si="11"/>
        <v>21675850.136317555</v>
      </c>
    </row>
    <row r="275" spans="2:14" s="16" customFormat="1" ht="15.75" customHeight="1">
      <c r="B275" s="7">
        <v>2024</v>
      </c>
      <c r="C275" s="7" t="s">
        <v>26</v>
      </c>
      <c r="D275" s="2" t="s">
        <v>15</v>
      </c>
      <c r="E275" s="2" t="s">
        <v>15</v>
      </c>
      <c r="F275" s="7" t="s">
        <v>18</v>
      </c>
      <c r="G275" s="52">
        <v>0.19999999999999998</v>
      </c>
      <c r="H275" s="29">
        <v>236726</v>
      </c>
      <c r="I275" s="55">
        <f t="shared" si="13"/>
        <v>47345.2</v>
      </c>
      <c r="J275" s="29">
        <v>31746.720000000096</v>
      </c>
      <c r="K275" s="54">
        <f t="shared" si="12"/>
        <v>1.4913414677169754</v>
      </c>
      <c r="L275" s="15"/>
      <c r="M275" s="49">
        <v>481.92101950450046</v>
      </c>
      <c r="N275" s="49">
        <f t="shared" si="11"/>
        <v>22816647.052644473</v>
      </c>
    </row>
    <row r="276" spans="2:14" s="16" customFormat="1" ht="15.75" customHeight="1">
      <c r="B276" s="7">
        <v>2024</v>
      </c>
      <c r="C276" s="7" t="s">
        <v>26</v>
      </c>
      <c r="D276" s="2" t="s">
        <v>15</v>
      </c>
      <c r="E276" s="2" t="s">
        <v>15</v>
      </c>
      <c r="F276" s="7" t="s">
        <v>19</v>
      </c>
      <c r="G276" s="52">
        <v>0.26999999999999996</v>
      </c>
      <c r="H276" s="29">
        <v>236726</v>
      </c>
      <c r="I276" s="55">
        <f t="shared" si="13"/>
        <v>63916.01999999999</v>
      </c>
      <c r="J276" s="29">
        <v>32287.791299999903</v>
      </c>
      <c r="K276" s="54">
        <f t="shared" si="12"/>
        <v>1.9795723840670447</v>
      </c>
      <c r="L276" s="15"/>
      <c r="M276" s="49">
        <v>481.92101950450046</v>
      </c>
      <c r="N276" s="49">
        <f t="shared" si="11"/>
        <v>30802473.521070037</v>
      </c>
    </row>
    <row r="277" spans="2:14" s="16" customFormat="1" ht="15.75" customHeight="1">
      <c r="B277" s="7">
        <v>2024</v>
      </c>
      <c r="C277" s="7" t="s">
        <v>26</v>
      </c>
      <c r="D277" s="2" t="s">
        <v>15</v>
      </c>
      <c r="E277" s="2" t="s">
        <v>15</v>
      </c>
      <c r="F277" s="22" t="s">
        <v>20</v>
      </c>
      <c r="G277" s="53">
        <v>1</v>
      </c>
      <c r="H277" s="29">
        <v>236726</v>
      </c>
      <c r="I277" s="55">
        <f t="shared" si="13"/>
        <v>236726</v>
      </c>
      <c r="J277" s="29">
        <f>SUM(J273:J276)</f>
        <v>124818.7893</v>
      </c>
      <c r="K277" s="54">
        <f t="shared" si="12"/>
        <v>1.8965574119697057</v>
      </c>
      <c r="L277" s="15"/>
      <c r="M277" s="49">
        <v>481.92101950450046</v>
      </c>
      <c r="N277" s="49">
        <f t="shared" si="11"/>
        <v>114083235.26322238</v>
      </c>
    </row>
    <row r="278" spans="2:14" s="16" customFormat="1" ht="15.75" customHeight="1">
      <c r="B278" s="7">
        <v>2024</v>
      </c>
      <c r="C278" s="7" t="s">
        <v>27</v>
      </c>
      <c r="D278" s="2" t="s">
        <v>15</v>
      </c>
      <c r="E278" s="2" t="s">
        <v>15</v>
      </c>
      <c r="F278" s="7" t="s">
        <v>16</v>
      </c>
      <c r="G278" s="52">
        <v>0.33999999999999997</v>
      </c>
      <c r="H278" s="29">
        <v>264043</v>
      </c>
      <c r="I278" s="55">
        <f t="shared" si="13"/>
        <v>89774.62</v>
      </c>
      <c r="J278" s="29">
        <v>39384.624000000076</v>
      </c>
      <c r="K278" s="54">
        <f t="shared" si="12"/>
        <v>2.2794332123114804</v>
      </c>
      <c r="L278" s="15"/>
      <c r="M278" s="49">
        <v>462.44617758432958</v>
      </c>
      <c r="N278" s="49">
        <f t="shared" si="11"/>
        <v>41515929.863085702</v>
      </c>
    </row>
    <row r="279" spans="2:14" s="16" customFormat="1" ht="15.75" customHeight="1">
      <c r="B279" s="7">
        <v>2024</v>
      </c>
      <c r="C279" s="7" t="s">
        <v>27</v>
      </c>
      <c r="D279" s="2" t="s">
        <v>15</v>
      </c>
      <c r="E279" s="2" t="s">
        <v>15</v>
      </c>
      <c r="F279" s="7" t="s">
        <v>17</v>
      </c>
      <c r="G279" s="52">
        <v>0.19000031061799064</v>
      </c>
      <c r="H279" s="29">
        <v>264043</v>
      </c>
      <c r="I279" s="55">
        <f t="shared" si="13"/>
        <v>50168.2520165061</v>
      </c>
      <c r="J279" s="29">
        <v>24331.836000000039</v>
      </c>
      <c r="K279" s="54">
        <f t="shared" si="12"/>
        <v>2.061835860495937</v>
      </c>
      <c r="L279" s="15"/>
      <c r="M279" s="49">
        <v>462.44617758432958</v>
      </c>
      <c r="N279" s="49">
        <f t="shared" si="11"/>
        <v>23200116.381120581</v>
      </c>
    </row>
    <row r="280" spans="2:14" s="16" customFormat="1" ht="15.75" customHeight="1">
      <c r="B280" s="7">
        <v>2024</v>
      </c>
      <c r="C280" s="7" t="s">
        <v>27</v>
      </c>
      <c r="D280" s="2" t="s">
        <v>15</v>
      </c>
      <c r="E280" s="2" t="s">
        <v>15</v>
      </c>
      <c r="F280" s="7" t="s">
        <v>18</v>
      </c>
      <c r="G280" s="52">
        <v>0.19999999999999998</v>
      </c>
      <c r="H280" s="29">
        <v>264043</v>
      </c>
      <c r="I280" s="55">
        <f t="shared" si="13"/>
        <v>52808.6</v>
      </c>
      <c r="J280" s="29">
        <v>33110.682000000146</v>
      </c>
      <c r="K280" s="54">
        <f t="shared" si="12"/>
        <v>1.5949112736487809</v>
      </c>
      <c r="L280" s="15"/>
      <c r="M280" s="49">
        <v>462.44617758432958</v>
      </c>
      <c r="N280" s="49">
        <f t="shared" si="11"/>
        <v>24421135.213579826</v>
      </c>
    </row>
    <row r="281" spans="2:14" s="16" customFormat="1" ht="15.75" customHeight="1">
      <c r="B281" s="7">
        <v>2024</v>
      </c>
      <c r="C281" s="7" t="s">
        <v>27</v>
      </c>
      <c r="D281" s="2" t="s">
        <v>15</v>
      </c>
      <c r="E281" s="2" t="s">
        <v>15</v>
      </c>
      <c r="F281" s="7" t="s">
        <v>19</v>
      </c>
      <c r="G281" s="52">
        <v>0.26999999999999996</v>
      </c>
      <c r="H281" s="29">
        <v>264043</v>
      </c>
      <c r="I281" s="55">
        <f t="shared" si="13"/>
        <v>71291.609999999986</v>
      </c>
      <c r="J281" s="29">
        <v>34351.522800000275</v>
      </c>
      <c r="K281" s="54">
        <f t="shared" si="12"/>
        <v>2.0753551571809625</v>
      </c>
      <c r="L281" s="15"/>
      <c r="M281" s="49">
        <v>462.44617758432958</v>
      </c>
      <c r="N281" s="49">
        <f t="shared" si="11"/>
        <v>32968532.53833276</v>
      </c>
    </row>
    <row r="282" spans="2:14" s="16" customFormat="1" ht="15.75" customHeight="1">
      <c r="B282" s="7">
        <v>2024</v>
      </c>
      <c r="C282" s="7" t="s">
        <v>27</v>
      </c>
      <c r="D282" s="2" t="s">
        <v>15</v>
      </c>
      <c r="E282" s="2" t="s">
        <v>15</v>
      </c>
      <c r="F282" s="22" t="s">
        <v>20</v>
      </c>
      <c r="G282" s="53">
        <v>1</v>
      </c>
      <c r="H282" s="29">
        <v>264043</v>
      </c>
      <c r="I282" s="55">
        <f t="shared" si="13"/>
        <v>264043</v>
      </c>
      <c r="J282" s="29">
        <f>SUM(J278:J281)</f>
        <v>131178.66480000052</v>
      </c>
      <c r="K282" s="54">
        <f t="shared" si="12"/>
        <v>2.0128501872051294</v>
      </c>
      <c r="L282" s="15"/>
      <c r="M282" s="49">
        <v>462.44617758432958</v>
      </c>
      <c r="N282" s="49">
        <f t="shared" si="11"/>
        <v>122105676.06789914</v>
      </c>
    </row>
    <row r="283" spans="2:14" s="16" customFormat="1" ht="15.75" customHeight="1">
      <c r="B283" s="7">
        <v>2024</v>
      </c>
      <c r="C283" s="7" t="s">
        <v>28</v>
      </c>
      <c r="D283" s="2" t="s">
        <v>15</v>
      </c>
      <c r="E283" s="2" t="s">
        <v>15</v>
      </c>
      <c r="F283" s="7" t="s">
        <v>16</v>
      </c>
      <c r="G283" s="52">
        <v>0.33999999999999997</v>
      </c>
      <c r="H283" s="29">
        <v>261006</v>
      </c>
      <c r="I283" s="55">
        <f t="shared" si="13"/>
        <v>88742.04</v>
      </c>
      <c r="J283" s="29">
        <v>37218.852000000014</v>
      </c>
      <c r="K283" s="54">
        <f t="shared" si="12"/>
        <v>2.3843303925655728</v>
      </c>
      <c r="L283" s="15"/>
      <c r="M283" s="49">
        <v>474.06906966266843</v>
      </c>
      <c r="N283" s="49">
        <f t="shared" si="11"/>
        <v>42069856.342767306</v>
      </c>
    </row>
    <row r="284" spans="2:14" s="16" customFormat="1" ht="15.75" customHeight="1">
      <c r="B284" s="7">
        <v>2024</v>
      </c>
      <c r="C284" s="7" t="s">
        <v>28</v>
      </c>
      <c r="D284" s="2" t="s">
        <v>15</v>
      </c>
      <c r="E284" s="2" t="s">
        <v>15</v>
      </c>
      <c r="F284" s="7" t="s">
        <v>17</v>
      </c>
      <c r="G284" s="52">
        <v>0.19000031061799064</v>
      </c>
      <c r="H284" s="29">
        <v>261006</v>
      </c>
      <c r="I284" s="55">
        <f t="shared" si="13"/>
        <v>49591.221073159264</v>
      </c>
      <c r="J284" s="29">
        <v>20966.358000000062</v>
      </c>
      <c r="K284" s="54">
        <f t="shared" si="12"/>
        <v>2.3652758897448529</v>
      </c>
      <c r="L284" s="15"/>
      <c r="M284" s="49">
        <v>474.06906966266843</v>
      </c>
      <c r="N284" s="49">
        <f t="shared" si="11"/>
        <v>23509664.037588328</v>
      </c>
    </row>
    <row r="285" spans="2:14" s="16" customFormat="1" ht="15.75" customHeight="1">
      <c r="B285" s="7">
        <v>2024</v>
      </c>
      <c r="C285" s="7" t="s">
        <v>28</v>
      </c>
      <c r="D285" s="2" t="s">
        <v>15</v>
      </c>
      <c r="E285" s="2" t="s">
        <v>15</v>
      </c>
      <c r="F285" s="7" t="s">
        <v>18</v>
      </c>
      <c r="G285" s="52">
        <v>0.19999999999999998</v>
      </c>
      <c r="H285" s="29">
        <v>261006</v>
      </c>
      <c r="I285" s="55">
        <f t="shared" si="13"/>
        <v>52201.2</v>
      </c>
      <c r="J285" s="29">
        <v>32004.432000000128</v>
      </c>
      <c r="K285" s="54">
        <f t="shared" si="12"/>
        <v>1.6310615979686747</v>
      </c>
      <c r="L285" s="15"/>
      <c r="M285" s="49">
        <v>474.06906966266843</v>
      </c>
      <c r="N285" s="49">
        <f t="shared" si="11"/>
        <v>24746974.319274887</v>
      </c>
    </row>
    <row r="286" spans="2:14" s="16" customFormat="1" ht="15.75" customHeight="1">
      <c r="B286" s="7">
        <v>2024</v>
      </c>
      <c r="C286" s="7" t="s">
        <v>28</v>
      </c>
      <c r="D286" s="2" t="s">
        <v>15</v>
      </c>
      <c r="E286" s="2" t="s">
        <v>15</v>
      </c>
      <c r="F286" s="7" t="s">
        <v>19</v>
      </c>
      <c r="G286" s="52">
        <v>0.26999999999999996</v>
      </c>
      <c r="H286" s="29">
        <v>261006</v>
      </c>
      <c r="I286" s="55">
        <f t="shared" si="13"/>
        <v>70471.62</v>
      </c>
      <c r="J286" s="29">
        <v>29857.014899999915</v>
      </c>
      <c r="K286" s="54">
        <f t="shared" si="12"/>
        <v>2.3603036082485325</v>
      </c>
      <c r="L286" s="15"/>
      <c r="M286" s="49">
        <v>474.06906966266843</v>
      </c>
      <c r="N286" s="49">
        <f t="shared" si="11"/>
        <v>33408415.331021097</v>
      </c>
    </row>
    <row r="287" spans="2:14" s="16" customFormat="1" ht="15.75" customHeight="1">
      <c r="B287" s="7">
        <v>2024</v>
      </c>
      <c r="C287" s="7" t="s">
        <v>28</v>
      </c>
      <c r="D287" s="2" t="s">
        <v>15</v>
      </c>
      <c r="E287" s="2" t="s">
        <v>15</v>
      </c>
      <c r="F287" s="22" t="s">
        <v>20</v>
      </c>
      <c r="G287" s="53">
        <v>1</v>
      </c>
      <c r="H287" s="29">
        <v>261006</v>
      </c>
      <c r="I287" s="55">
        <f t="shared" si="13"/>
        <v>261006</v>
      </c>
      <c r="J287" s="29">
        <f>SUM(J283:J286)</f>
        <v>120046.65690000012</v>
      </c>
      <c r="K287" s="54">
        <f t="shared" si="12"/>
        <v>2.1742046529244061</v>
      </c>
      <c r="L287" s="15"/>
      <c r="M287" s="49">
        <v>474.06906966266843</v>
      </c>
      <c r="N287" s="49">
        <f t="shared" si="11"/>
        <v>123734871.59637444</v>
      </c>
    </row>
    <row r="288" spans="2:14" s="16" customFormat="1" ht="15.75" customHeight="1">
      <c r="B288" s="7">
        <v>2024</v>
      </c>
      <c r="C288" s="7" t="s">
        <v>29</v>
      </c>
      <c r="D288" s="2" t="s">
        <v>15</v>
      </c>
      <c r="E288" s="2" t="s">
        <v>15</v>
      </c>
      <c r="F288" s="7" t="s">
        <v>16</v>
      </c>
      <c r="G288" s="52">
        <v>0.33999999999999997</v>
      </c>
      <c r="H288" s="29">
        <v>280610</v>
      </c>
      <c r="I288" s="55">
        <f t="shared" si="13"/>
        <v>95407.4</v>
      </c>
      <c r="J288" s="29">
        <v>39315.947999999931</v>
      </c>
      <c r="K288" s="54">
        <f t="shared" si="12"/>
        <v>2.4266844589376344</v>
      </c>
      <c r="L288" s="15"/>
      <c r="M288" s="49">
        <v>475.41747901503527</v>
      </c>
      <c r="N288" s="49">
        <f t="shared" si="11"/>
        <v>45358345.587379076</v>
      </c>
    </row>
    <row r="289" spans="2:14" s="16" customFormat="1" ht="15.75" customHeight="1">
      <c r="B289" s="7">
        <v>2024</v>
      </c>
      <c r="C289" s="7" t="s">
        <v>29</v>
      </c>
      <c r="D289" s="2" t="s">
        <v>15</v>
      </c>
      <c r="E289" s="2" t="s">
        <v>15</v>
      </c>
      <c r="F289" s="7" t="s">
        <v>17</v>
      </c>
      <c r="G289" s="52">
        <v>0.19000031061799064</v>
      </c>
      <c r="H289" s="29">
        <v>280610</v>
      </c>
      <c r="I289" s="55">
        <f t="shared" si="13"/>
        <v>53315.98716251435</v>
      </c>
      <c r="J289" s="29">
        <v>24239.442000000116</v>
      </c>
      <c r="K289" s="54">
        <f t="shared" si="12"/>
        <v>2.1995550542175888</v>
      </c>
      <c r="L289" s="15"/>
      <c r="M289" s="49">
        <v>475.41747901503527</v>
      </c>
      <c r="N289" s="49">
        <f t="shared" ref="N289:N352" si="14">I289*M289</f>
        <v>25347352.208000556</v>
      </c>
    </row>
    <row r="290" spans="2:14" s="16" customFormat="1" ht="15.75" customHeight="1">
      <c r="B290" s="7">
        <v>2024</v>
      </c>
      <c r="C290" s="7" t="s">
        <v>29</v>
      </c>
      <c r="D290" s="2" t="s">
        <v>15</v>
      </c>
      <c r="E290" s="2" t="s">
        <v>15</v>
      </c>
      <c r="F290" s="7" t="s">
        <v>18</v>
      </c>
      <c r="G290" s="52">
        <v>0.19999999999999998</v>
      </c>
      <c r="H290" s="29">
        <v>280610</v>
      </c>
      <c r="I290" s="55">
        <f t="shared" si="13"/>
        <v>56121.999999999993</v>
      </c>
      <c r="J290" s="29">
        <v>29864.501999999986</v>
      </c>
      <c r="K290" s="54">
        <f t="shared" si="12"/>
        <v>1.8792210230058422</v>
      </c>
      <c r="L290" s="15"/>
      <c r="M290" s="49">
        <v>475.41747901503527</v>
      </c>
      <c r="N290" s="49">
        <f t="shared" si="14"/>
        <v>26681379.757281806</v>
      </c>
    </row>
    <row r="291" spans="2:14" s="16" customFormat="1" ht="15.75" customHeight="1">
      <c r="B291" s="7">
        <v>2024</v>
      </c>
      <c r="C291" s="7" t="s">
        <v>29</v>
      </c>
      <c r="D291" s="2" t="s">
        <v>15</v>
      </c>
      <c r="E291" s="2" t="s">
        <v>15</v>
      </c>
      <c r="F291" s="7" t="s">
        <v>19</v>
      </c>
      <c r="G291" s="52">
        <v>0.26999999999999996</v>
      </c>
      <c r="H291" s="29">
        <v>280610</v>
      </c>
      <c r="I291" s="55">
        <f t="shared" si="13"/>
        <v>75764.699999999983</v>
      </c>
      <c r="J291" s="29">
        <v>32354.7327</v>
      </c>
      <c r="K291" s="54">
        <f t="shared" si="12"/>
        <v>2.3416883304988634</v>
      </c>
      <c r="L291" s="15"/>
      <c r="M291" s="49">
        <v>475.41747901503527</v>
      </c>
      <c r="N291" s="49">
        <f t="shared" si="14"/>
        <v>36019862.672330432</v>
      </c>
    </row>
    <row r="292" spans="2:14" s="16" customFormat="1" ht="15.75" customHeight="1">
      <c r="B292" s="7">
        <v>2024</v>
      </c>
      <c r="C292" s="7" t="s">
        <v>29</v>
      </c>
      <c r="D292" s="2" t="s">
        <v>15</v>
      </c>
      <c r="E292" s="2" t="s">
        <v>15</v>
      </c>
      <c r="F292" s="22" t="s">
        <v>20</v>
      </c>
      <c r="G292" s="53">
        <v>1</v>
      </c>
      <c r="H292" s="29">
        <v>280610</v>
      </c>
      <c r="I292" s="55">
        <f t="shared" si="13"/>
        <v>280610</v>
      </c>
      <c r="J292" s="29">
        <f>SUM(J288:J291)</f>
        <v>125774.62470000001</v>
      </c>
      <c r="K292" s="54">
        <f t="shared" si="12"/>
        <v>2.2310541627082268</v>
      </c>
      <c r="L292" s="15"/>
      <c r="M292" s="49">
        <v>475.41747901503527</v>
      </c>
      <c r="N292" s="49">
        <f t="shared" si="14"/>
        <v>133406898.78640905</v>
      </c>
    </row>
    <row r="293" spans="2:14" s="16" customFormat="1" ht="15.75" customHeight="1">
      <c r="B293" s="7">
        <v>2024</v>
      </c>
      <c r="C293" s="7" t="s">
        <v>30</v>
      </c>
      <c r="D293" s="2" t="s">
        <v>15</v>
      </c>
      <c r="E293" s="2" t="s">
        <v>15</v>
      </c>
      <c r="F293" s="7" t="s">
        <v>16</v>
      </c>
      <c r="G293" s="52">
        <v>0.33999999999999997</v>
      </c>
      <c r="H293" s="29">
        <v>275338</v>
      </c>
      <c r="I293" s="55">
        <f t="shared" si="13"/>
        <v>93614.92</v>
      </c>
      <c r="J293" s="29">
        <v>43139.502000000415</v>
      </c>
      <c r="K293" s="54">
        <f t="shared" si="12"/>
        <v>2.1700510126426376</v>
      </c>
      <c r="L293" s="15"/>
      <c r="M293" s="49">
        <v>450.63058053084831</v>
      </c>
      <c r="N293" s="49">
        <f t="shared" si="14"/>
        <v>42185745.745948918</v>
      </c>
    </row>
    <row r="294" spans="2:14" s="16" customFormat="1" ht="15.75" customHeight="1">
      <c r="B294" s="7">
        <v>2024</v>
      </c>
      <c r="C294" s="7" t="s">
        <v>30</v>
      </c>
      <c r="D294" s="2" t="s">
        <v>15</v>
      </c>
      <c r="E294" s="2" t="s">
        <v>15</v>
      </c>
      <c r="F294" s="7" t="s">
        <v>17</v>
      </c>
      <c r="G294" s="52">
        <v>0.19000031061799064</v>
      </c>
      <c r="H294" s="29">
        <v>275338</v>
      </c>
      <c r="I294" s="55">
        <f t="shared" si="13"/>
        <v>52314.305524936302</v>
      </c>
      <c r="J294" s="29">
        <v>23134.608000000106</v>
      </c>
      <c r="K294" s="54">
        <f t="shared" si="12"/>
        <v>2.2613007112519936</v>
      </c>
      <c r="L294" s="15"/>
      <c r="M294" s="49">
        <v>450.63058053084831</v>
      </c>
      <c r="N294" s="49">
        <f t="shared" si="14"/>
        <v>23574425.868770212</v>
      </c>
    </row>
    <row r="295" spans="2:14" s="16" customFormat="1" ht="15.75" customHeight="1">
      <c r="B295" s="7">
        <v>2024</v>
      </c>
      <c r="C295" s="7" t="s">
        <v>30</v>
      </c>
      <c r="D295" s="2" t="s">
        <v>15</v>
      </c>
      <c r="E295" s="2" t="s">
        <v>15</v>
      </c>
      <c r="F295" s="7" t="s">
        <v>18</v>
      </c>
      <c r="G295" s="52">
        <v>0.19999999999999998</v>
      </c>
      <c r="H295" s="29">
        <v>275338</v>
      </c>
      <c r="I295" s="55">
        <f t="shared" si="13"/>
        <v>55067.6</v>
      </c>
      <c r="J295" s="29">
        <v>32614.728000000119</v>
      </c>
      <c r="K295" s="54">
        <f t="shared" si="12"/>
        <v>1.6884273877740081</v>
      </c>
      <c r="L295" s="15"/>
      <c r="M295" s="49">
        <v>450.63058053084831</v>
      </c>
      <c r="N295" s="49">
        <f t="shared" si="14"/>
        <v>24815144.55644054</v>
      </c>
    </row>
    <row r="296" spans="2:14" s="16" customFormat="1" ht="15.75" customHeight="1">
      <c r="B296" s="7">
        <v>2024</v>
      </c>
      <c r="C296" s="7" t="s">
        <v>30</v>
      </c>
      <c r="D296" s="2" t="s">
        <v>15</v>
      </c>
      <c r="E296" s="2" t="s">
        <v>15</v>
      </c>
      <c r="F296" s="7" t="s">
        <v>19</v>
      </c>
      <c r="G296" s="52">
        <v>0.26999999999999996</v>
      </c>
      <c r="H296" s="29">
        <v>275338</v>
      </c>
      <c r="I296" s="55">
        <f t="shared" si="13"/>
        <v>74341.259999999995</v>
      </c>
      <c r="J296" s="29">
        <v>33035.315400000029</v>
      </c>
      <c r="K296" s="54">
        <f t="shared" si="12"/>
        <v>2.2503572040967992</v>
      </c>
      <c r="L296" s="15"/>
      <c r="M296" s="49">
        <v>450.63058053084831</v>
      </c>
      <c r="N296" s="49">
        <f t="shared" si="14"/>
        <v>33500445.151194729</v>
      </c>
    </row>
    <row r="297" spans="2:14" s="16" customFormat="1" ht="15.75" customHeight="1">
      <c r="B297" s="7">
        <v>2024</v>
      </c>
      <c r="C297" s="7" t="s">
        <v>30</v>
      </c>
      <c r="D297" s="2" t="s">
        <v>15</v>
      </c>
      <c r="E297" s="2" t="s">
        <v>15</v>
      </c>
      <c r="F297" s="22" t="s">
        <v>20</v>
      </c>
      <c r="G297" s="53">
        <v>1</v>
      </c>
      <c r="H297" s="29">
        <v>275338</v>
      </c>
      <c r="I297" s="55">
        <f t="shared" si="13"/>
        <v>275338</v>
      </c>
      <c r="J297" s="29">
        <f>SUM(J293:J296)</f>
        <v>131924.15340000068</v>
      </c>
      <c r="K297" s="54">
        <f t="shared" si="12"/>
        <v>2.0870931736447176</v>
      </c>
      <c r="L297" s="15"/>
      <c r="M297" s="49">
        <v>450.63058053084831</v>
      </c>
      <c r="N297" s="49">
        <f t="shared" si="14"/>
        <v>124075722.78220271</v>
      </c>
    </row>
    <row r="298" spans="2:14" s="16" customFormat="1" ht="15.75" customHeight="1">
      <c r="B298" s="7">
        <v>2024</v>
      </c>
      <c r="C298" s="7" t="s">
        <v>31</v>
      </c>
      <c r="D298" s="2" t="s">
        <v>15</v>
      </c>
      <c r="E298" s="2" t="s">
        <v>15</v>
      </c>
      <c r="F298" s="7" t="s">
        <v>16</v>
      </c>
      <c r="G298" s="52">
        <v>0.33999999999999997</v>
      </c>
      <c r="H298" s="29">
        <v>278693</v>
      </c>
      <c r="I298" s="55">
        <f t="shared" si="13"/>
        <v>94755.62</v>
      </c>
      <c r="J298" s="29">
        <v>35693.11199999987</v>
      </c>
      <c r="K298" s="54">
        <f t="shared" si="12"/>
        <v>2.6547312545905313</v>
      </c>
      <c r="L298" s="15"/>
      <c r="M298" s="49">
        <v>443.50583749579579</v>
      </c>
      <c r="N298" s="49">
        <f t="shared" si="14"/>
        <v>42024670.605533376</v>
      </c>
    </row>
    <row r="299" spans="2:14" s="16" customFormat="1" ht="15.75" customHeight="1">
      <c r="B299" s="7">
        <v>2024</v>
      </c>
      <c r="C299" s="7" t="s">
        <v>31</v>
      </c>
      <c r="D299" s="2" t="s">
        <v>15</v>
      </c>
      <c r="E299" s="2" t="s">
        <v>15</v>
      </c>
      <c r="F299" s="7" t="s">
        <v>17</v>
      </c>
      <c r="G299" s="52">
        <v>0.19000031061799064</v>
      </c>
      <c r="H299" s="29">
        <v>278693</v>
      </c>
      <c r="I299" s="55">
        <f t="shared" si="13"/>
        <v>52951.756567059667</v>
      </c>
      <c r="J299" s="29">
        <v>22302.354000000105</v>
      </c>
      <c r="K299" s="54">
        <f t="shared" si="12"/>
        <v>2.3742676027409222</v>
      </c>
      <c r="L299" s="15"/>
      <c r="M299" s="49">
        <v>443.50583749579579</v>
      </c>
      <c r="N299" s="49">
        <f t="shared" si="14"/>
        <v>23484413.143147301</v>
      </c>
    </row>
    <row r="300" spans="2:14" s="16" customFormat="1" ht="15.75" customHeight="1">
      <c r="B300" s="7">
        <v>2024</v>
      </c>
      <c r="C300" s="7" t="s">
        <v>31</v>
      </c>
      <c r="D300" s="2" t="s">
        <v>15</v>
      </c>
      <c r="E300" s="2" t="s">
        <v>15</v>
      </c>
      <c r="F300" s="7" t="s">
        <v>18</v>
      </c>
      <c r="G300" s="52">
        <v>0.19999999999999998</v>
      </c>
      <c r="H300" s="29">
        <v>278693</v>
      </c>
      <c r="I300" s="55">
        <f t="shared" si="13"/>
        <v>55738.6</v>
      </c>
      <c r="J300" s="29">
        <v>31393.781999999992</v>
      </c>
      <c r="K300" s="54">
        <f t="shared" si="12"/>
        <v>1.7754662372313095</v>
      </c>
      <c r="L300" s="15"/>
      <c r="M300" s="49">
        <v>443.50583749579579</v>
      </c>
      <c r="N300" s="49">
        <f t="shared" si="14"/>
        <v>24720394.473843161</v>
      </c>
    </row>
    <row r="301" spans="2:14" s="16" customFormat="1" ht="15.75" customHeight="1">
      <c r="B301" s="7">
        <v>2024</v>
      </c>
      <c r="C301" s="7" t="s">
        <v>31</v>
      </c>
      <c r="D301" s="2" t="s">
        <v>15</v>
      </c>
      <c r="E301" s="2" t="s">
        <v>15</v>
      </c>
      <c r="F301" s="7" t="s">
        <v>19</v>
      </c>
      <c r="G301" s="52">
        <v>0.26999999999999996</v>
      </c>
      <c r="H301" s="29">
        <v>278693</v>
      </c>
      <c r="I301" s="55">
        <f t="shared" si="13"/>
        <v>75247.109999999986</v>
      </c>
      <c r="J301" s="29">
        <v>31903.913699999914</v>
      </c>
      <c r="K301" s="54">
        <f t="shared" si="12"/>
        <v>2.3585542108584687</v>
      </c>
      <c r="L301" s="15"/>
      <c r="M301" s="49">
        <v>443.50583749579579</v>
      </c>
      <c r="N301" s="49">
        <f t="shared" si="14"/>
        <v>33372532.539688263</v>
      </c>
    </row>
    <row r="302" spans="2:14" s="16" customFormat="1" ht="15.75" customHeight="1">
      <c r="B302" s="7">
        <v>2024</v>
      </c>
      <c r="C302" s="7" t="s">
        <v>31</v>
      </c>
      <c r="D302" s="2" t="s">
        <v>15</v>
      </c>
      <c r="E302" s="2" t="s">
        <v>15</v>
      </c>
      <c r="F302" s="22" t="s">
        <v>20</v>
      </c>
      <c r="G302" s="53">
        <v>1</v>
      </c>
      <c r="H302" s="29">
        <v>278693</v>
      </c>
      <c r="I302" s="55">
        <f t="shared" si="13"/>
        <v>278693</v>
      </c>
      <c r="J302" s="29">
        <f>SUM(J298:J301)</f>
        <v>121293.16169999988</v>
      </c>
      <c r="K302" s="54">
        <f t="shared" si="12"/>
        <v>2.2976810571506463</v>
      </c>
      <c r="L302" s="15"/>
      <c r="M302" s="49">
        <v>443.50583749579579</v>
      </c>
      <c r="N302" s="49">
        <f t="shared" si="14"/>
        <v>123601972.36921582</v>
      </c>
    </row>
    <row r="303" spans="2:14" s="16" customFormat="1" ht="15.6" customHeight="1">
      <c r="B303" s="7">
        <v>2024</v>
      </c>
      <c r="C303" s="7" t="s">
        <v>14</v>
      </c>
      <c r="D303" s="2" t="s">
        <v>15</v>
      </c>
      <c r="E303" s="2" t="s">
        <v>15</v>
      </c>
      <c r="F303" s="7" t="s">
        <v>16</v>
      </c>
      <c r="G303" s="52">
        <v>0.33999999999999997</v>
      </c>
      <c r="H303" s="29">
        <v>277543</v>
      </c>
      <c r="I303" s="55">
        <f t="shared" si="13"/>
        <v>94364.62</v>
      </c>
      <c r="J303" s="29">
        <v>41342.598000000187</v>
      </c>
      <c r="K303" s="54">
        <f t="shared" si="12"/>
        <v>2.2825033879099608</v>
      </c>
      <c r="L303" s="15"/>
      <c r="M303" s="49">
        <v>452.2763812634293</v>
      </c>
      <c r="N303" s="49">
        <f t="shared" si="14"/>
        <v>42678888.85289862</v>
      </c>
    </row>
    <row r="304" spans="2:14" s="16" customFormat="1" ht="15.75" customHeight="1">
      <c r="B304" s="7">
        <v>2024</v>
      </c>
      <c r="C304" s="7" t="s">
        <v>14</v>
      </c>
      <c r="D304" s="2" t="s">
        <v>15</v>
      </c>
      <c r="E304" s="2" t="s">
        <v>15</v>
      </c>
      <c r="F304" s="7" t="s">
        <v>17</v>
      </c>
      <c r="G304" s="52">
        <v>0.19000031061799064</v>
      </c>
      <c r="H304" s="29">
        <v>277543</v>
      </c>
      <c r="I304" s="55">
        <f t="shared" si="13"/>
        <v>52733.256209848973</v>
      </c>
      <c r="J304" s="29">
        <v>22560.420000000122</v>
      </c>
      <c r="K304" s="54">
        <f t="shared" si="12"/>
        <v>2.3374235147150935</v>
      </c>
      <c r="L304" s="15"/>
      <c r="M304" s="49">
        <v>452.2763812634293</v>
      </c>
      <c r="N304" s="49">
        <f t="shared" si="14"/>
        <v>23850006.290827755</v>
      </c>
    </row>
    <row r="305" spans="2:14" s="16" customFormat="1" ht="15.75" customHeight="1">
      <c r="B305" s="7">
        <v>2024</v>
      </c>
      <c r="C305" s="7" t="s">
        <v>14</v>
      </c>
      <c r="D305" s="2" t="s">
        <v>15</v>
      </c>
      <c r="E305" s="2" t="s">
        <v>15</v>
      </c>
      <c r="F305" s="7" t="s">
        <v>18</v>
      </c>
      <c r="G305" s="52">
        <v>0.19999999999999998</v>
      </c>
      <c r="H305" s="29">
        <v>277543</v>
      </c>
      <c r="I305" s="55">
        <f t="shared" si="13"/>
        <v>55508.6</v>
      </c>
      <c r="J305" s="29">
        <v>37670.556000000004</v>
      </c>
      <c r="K305" s="54">
        <f t="shared" si="12"/>
        <v>1.4735274945238397</v>
      </c>
      <c r="L305" s="15"/>
      <c r="M305" s="49">
        <v>452.2763812634293</v>
      </c>
      <c r="N305" s="49">
        <f t="shared" si="14"/>
        <v>25105228.736999191</v>
      </c>
    </row>
    <row r="306" spans="2:14" s="16" customFormat="1" ht="15.75" customHeight="1">
      <c r="B306" s="7">
        <v>2024</v>
      </c>
      <c r="C306" s="7" t="s">
        <v>14</v>
      </c>
      <c r="D306" s="2" t="s">
        <v>15</v>
      </c>
      <c r="E306" s="2" t="s">
        <v>15</v>
      </c>
      <c r="F306" s="7" t="s">
        <v>19</v>
      </c>
      <c r="G306" s="52">
        <v>0.26999999999999996</v>
      </c>
      <c r="H306" s="29">
        <v>277543</v>
      </c>
      <c r="I306" s="55">
        <f t="shared" si="13"/>
        <v>74936.609999999986</v>
      </c>
      <c r="J306" s="29">
        <v>32038.681499999948</v>
      </c>
      <c r="K306" s="54">
        <f t="shared" si="12"/>
        <v>2.3389417570133189</v>
      </c>
      <c r="L306" s="15"/>
      <c r="M306" s="49">
        <v>452.2763812634293</v>
      </c>
      <c r="N306" s="49">
        <f t="shared" si="14"/>
        <v>33892058.794948906</v>
      </c>
    </row>
    <row r="307" spans="2:14" s="16" customFormat="1" ht="15.75" customHeight="1">
      <c r="B307" s="7">
        <v>2024</v>
      </c>
      <c r="C307" s="7" t="s">
        <v>14</v>
      </c>
      <c r="D307" s="2" t="s">
        <v>15</v>
      </c>
      <c r="E307" s="2" t="s">
        <v>15</v>
      </c>
      <c r="F307" s="22" t="s">
        <v>20</v>
      </c>
      <c r="G307" s="53">
        <v>1</v>
      </c>
      <c r="H307" s="29">
        <v>277543</v>
      </c>
      <c r="I307" s="55">
        <f t="shared" si="13"/>
        <v>277543</v>
      </c>
      <c r="J307" s="29">
        <f>SUM(J303:J306)</f>
        <v>133612.25550000026</v>
      </c>
      <c r="K307" s="54">
        <f t="shared" si="12"/>
        <v>2.077227114843514</v>
      </c>
      <c r="L307" s="15"/>
      <c r="M307" s="49">
        <v>452.2763812634293</v>
      </c>
      <c r="N307" s="49">
        <f t="shared" si="14"/>
        <v>125526143.68499596</v>
      </c>
    </row>
    <row r="308" spans="2:14" s="16" customFormat="1" ht="15.75" customHeight="1">
      <c r="B308" s="7">
        <v>2024</v>
      </c>
      <c r="C308" s="7" t="s">
        <v>21</v>
      </c>
      <c r="D308" s="2" t="s">
        <v>15</v>
      </c>
      <c r="E308" s="2" t="s">
        <v>15</v>
      </c>
      <c r="F308" s="7" t="s">
        <v>16</v>
      </c>
      <c r="G308" s="52">
        <v>0.33999999999999997</v>
      </c>
      <c r="H308" s="29">
        <v>267746</v>
      </c>
      <c r="I308" s="55">
        <f t="shared" si="13"/>
        <v>91033.639999999985</v>
      </c>
      <c r="J308" s="29">
        <v>39409.404000000184</v>
      </c>
      <c r="K308" s="54">
        <f t="shared" si="12"/>
        <v>2.3099471385053061</v>
      </c>
      <c r="L308" s="15"/>
      <c r="M308" s="49">
        <v>460.84443894967723</v>
      </c>
      <c r="N308" s="49">
        <f t="shared" si="14"/>
        <v>41952346.751346886</v>
      </c>
    </row>
    <row r="309" spans="2:14" s="16" customFormat="1" ht="15.75" customHeight="1">
      <c r="B309" s="7">
        <v>2024</v>
      </c>
      <c r="C309" s="7" t="s">
        <v>21</v>
      </c>
      <c r="D309" s="2" t="s">
        <v>15</v>
      </c>
      <c r="E309" s="2" t="s">
        <v>15</v>
      </c>
      <c r="F309" s="7" t="s">
        <v>17</v>
      </c>
      <c r="G309" s="52">
        <v>0.19000031061799064</v>
      </c>
      <c r="H309" s="29">
        <v>267746</v>
      </c>
      <c r="I309" s="55">
        <f t="shared" si="13"/>
        <v>50871.82316672452</v>
      </c>
      <c r="J309" s="29">
        <v>24887.616000000085</v>
      </c>
      <c r="K309" s="54">
        <f t="shared" si="12"/>
        <v>2.044061719962424</v>
      </c>
      <c r="L309" s="15"/>
      <c r="M309" s="49">
        <v>460.84443894967723</v>
      </c>
      <c r="N309" s="49">
        <f t="shared" si="14"/>
        <v>23443996.805616353</v>
      </c>
    </row>
    <row r="310" spans="2:14" s="16" customFormat="1" ht="15.75" customHeight="1">
      <c r="B310" s="7">
        <v>2024</v>
      </c>
      <c r="C310" s="7" t="s">
        <v>21</v>
      </c>
      <c r="D310" s="2" t="s">
        <v>15</v>
      </c>
      <c r="E310" s="2" t="s">
        <v>15</v>
      </c>
      <c r="F310" s="7" t="s">
        <v>18</v>
      </c>
      <c r="G310" s="52">
        <v>0.19999999999999998</v>
      </c>
      <c r="H310" s="29">
        <v>267746</v>
      </c>
      <c r="I310" s="55">
        <f t="shared" si="13"/>
        <v>53549.2</v>
      </c>
      <c r="J310" s="29">
        <v>35345.130000000179</v>
      </c>
      <c r="K310" s="54">
        <f t="shared" si="12"/>
        <v>1.5150375737760684</v>
      </c>
      <c r="L310" s="15"/>
      <c r="M310" s="49">
        <v>460.84443894967723</v>
      </c>
      <c r="N310" s="49">
        <f>I310*M310</f>
        <v>24677851.030204054</v>
      </c>
    </row>
    <row r="311" spans="2:14" s="16" customFormat="1" ht="15.75" customHeight="1">
      <c r="B311" s="7">
        <v>2024</v>
      </c>
      <c r="C311" s="7" t="s">
        <v>21</v>
      </c>
      <c r="D311" s="2" t="s">
        <v>15</v>
      </c>
      <c r="E311" s="2" t="s">
        <v>15</v>
      </c>
      <c r="F311" s="7" t="s">
        <v>19</v>
      </c>
      <c r="G311" s="52">
        <v>0.26999999999999996</v>
      </c>
      <c r="H311" s="29">
        <v>267746</v>
      </c>
      <c r="I311" s="55">
        <f t="shared" si="13"/>
        <v>72291.419999999984</v>
      </c>
      <c r="J311" s="29">
        <v>34453.173900000394</v>
      </c>
      <c r="K311" s="54">
        <f t="shared" si="12"/>
        <v>2.0982513892573236</v>
      </c>
      <c r="L311" s="15"/>
      <c r="M311" s="49">
        <v>460.84443894967723</v>
      </c>
      <c r="N311" s="49">
        <f t="shared" si="14"/>
        <v>33315098.890775468</v>
      </c>
    </row>
    <row r="312" spans="2:14" s="16" customFormat="1" ht="15.75" customHeight="1">
      <c r="B312" s="7">
        <v>2024</v>
      </c>
      <c r="C312" s="7" t="s">
        <v>21</v>
      </c>
      <c r="D312" s="2" t="s">
        <v>15</v>
      </c>
      <c r="E312" s="2" t="s">
        <v>15</v>
      </c>
      <c r="F312" s="22" t="s">
        <v>20</v>
      </c>
      <c r="G312" s="53">
        <v>1</v>
      </c>
      <c r="H312" s="29">
        <v>267746</v>
      </c>
      <c r="I312" s="55">
        <f t="shared" si="13"/>
        <v>267746</v>
      </c>
      <c r="J312" s="29">
        <f>SUM(J308:J311)</f>
        <v>134095.32390000083</v>
      </c>
      <c r="K312" s="54">
        <f t="shared" si="12"/>
        <v>1.9966840916814277</v>
      </c>
      <c r="L312" s="15"/>
      <c r="M312" s="49">
        <v>460.84443894967723</v>
      </c>
      <c r="N312" s="49">
        <f t="shared" si="14"/>
        <v>123389255.15102027</v>
      </c>
    </row>
    <row r="313" spans="2:14" s="16" customFormat="1" ht="15.75" customHeight="1">
      <c r="B313" s="7">
        <v>2024</v>
      </c>
      <c r="C313" s="7" t="s">
        <v>22</v>
      </c>
      <c r="D313" s="2" t="s">
        <v>15</v>
      </c>
      <c r="E313" s="2" t="s">
        <v>15</v>
      </c>
      <c r="F313" s="7" t="s">
        <v>16</v>
      </c>
      <c r="G313" s="52">
        <v>0.33999999999999997</v>
      </c>
      <c r="H313" s="29">
        <v>266429</v>
      </c>
      <c r="I313" s="55">
        <f t="shared" si="13"/>
        <v>90585.859999999986</v>
      </c>
      <c r="J313" s="29">
        <v>41787.222000000111</v>
      </c>
      <c r="K313" s="54">
        <f t="shared" si="12"/>
        <v>2.1677885167862976</v>
      </c>
      <c r="L313" s="15"/>
      <c r="M313" s="49">
        <v>460.71503592656978</v>
      </c>
      <c r="N313" s="49">
        <f t="shared" si="14"/>
        <v>41734267.744339213</v>
      </c>
    </row>
    <row r="314" spans="2:14" s="16" customFormat="1" ht="15.75" customHeight="1">
      <c r="B314" s="7">
        <v>2024</v>
      </c>
      <c r="C314" s="7" t="s">
        <v>22</v>
      </c>
      <c r="D314" s="2" t="s">
        <v>15</v>
      </c>
      <c r="E314" s="2" t="s">
        <v>15</v>
      </c>
      <c r="F314" s="7" t="s">
        <v>17</v>
      </c>
      <c r="G314" s="52">
        <v>0.19000031061799064</v>
      </c>
      <c r="H314" s="29">
        <v>266429</v>
      </c>
      <c r="I314" s="55">
        <f t="shared" si="13"/>
        <v>50621.592757640625</v>
      </c>
      <c r="J314" s="29">
        <v>22903.446000000127</v>
      </c>
      <c r="K314" s="54">
        <f t="shared" si="12"/>
        <v>2.2102173078077572</v>
      </c>
      <c r="L314" s="15"/>
      <c r="M314" s="49">
        <v>460.71503592656978</v>
      </c>
      <c r="N314" s="49">
        <f t="shared" si="14"/>
        <v>23322128.925996587</v>
      </c>
    </row>
    <row r="315" spans="2:14" s="16" customFormat="1" ht="15.75" customHeight="1">
      <c r="B315" s="7">
        <v>2024</v>
      </c>
      <c r="C315" s="7" t="s">
        <v>22</v>
      </c>
      <c r="D315" s="2" t="s">
        <v>15</v>
      </c>
      <c r="E315" s="2" t="s">
        <v>15</v>
      </c>
      <c r="F315" s="7" t="s">
        <v>18</v>
      </c>
      <c r="G315" s="52">
        <v>0.19999999999999998</v>
      </c>
      <c r="H315" s="29">
        <v>266429</v>
      </c>
      <c r="I315" s="55">
        <f t="shared" si="13"/>
        <v>53285.799999999996</v>
      </c>
      <c r="J315" s="29">
        <v>34271.448000000164</v>
      </c>
      <c r="K315" s="54">
        <f t="shared" si="12"/>
        <v>1.5548161256565447</v>
      </c>
      <c r="L315" s="15"/>
      <c r="M315" s="49">
        <v>460.71503592656978</v>
      </c>
      <c r="N315" s="49">
        <f t="shared" si="14"/>
        <v>24549569.261376008</v>
      </c>
    </row>
    <row r="316" spans="2:14" s="16" customFormat="1" ht="15.75" customHeight="1">
      <c r="B316" s="7">
        <v>2024</v>
      </c>
      <c r="C316" s="7" t="s">
        <v>22</v>
      </c>
      <c r="D316" s="2" t="s">
        <v>15</v>
      </c>
      <c r="E316" s="2" t="s">
        <v>15</v>
      </c>
      <c r="F316" s="7" t="s">
        <v>19</v>
      </c>
      <c r="G316" s="52">
        <v>0.26999999999999996</v>
      </c>
      <c r="H316" s="29">
        <v>266429</v>
      </c>
      <c r="I316" s="55">
        <f t="shared" si="13"/>
        <v>71935.829999999987</v>
      </c>
      <c r="J316" s="29">
        <v>31768.52640000041</v>
      </c>
      <c r="K316" s="54">
        <f t="shared" si="12"/>
        <v>2.2643741511409563</v>
      </c>
      <c r="L316" s="15"/>
      <c r="M316" s="49">
        <v>460.71503592656978</v>
      </c>
      <c r="N316" s="49">
        <f>I316*M316</f>
        <v>33141918.502857611</v>
      </c>
    </row>
    <row r="317" spans="2:14" s="16" customFormat="1" ht="15.75" customHeight="1">
      <c r="B317" s="7">
        <v>2024</v>
      </c>
      <c r="C317" s="7" t="s">
        <v>22</v>
      </c>
      <c r="D317" s="2" t="s">
        <v>15</v>
      </c>
      <c r="E317" s="2" t="s">
        <v>15</v>
      </c>
      <c r="F317" s="22" t="s">
        <v>20</v>
      </c>
      <c r="G317" s="53">
        <v>1</v>
      </c>
      <c r="H317" s="29">
        <v>266429</v>
      </c>
      <c r="I317" s="55">
        <f t="shared" si="13"/>
        <v>266429</v>
      </c>
      <c r="J317" s="29">
        <f>SUM(J313:J316)</f>
        <v>130730.64240000081</v>
      </c>
      <c r="K317" s="54">
        <f t="shared" si="12"/>
        <v>2.0379996235679658</v>
      </c>
      <c r="L317" s="15"/>
      <c r="M317" s="49">
        <v>460.71503592656978</v>
      </c>
      <c r="N317" s="49">
        <f t="shared" si="14"/>
        <v>122747846.30688006</v>
      </c>
    </row>
    <row r="318" spans="2:14" s="16" customFormat="1" ht="15.75" customHeight="1">
      <c r="B318" s="7">
        <v>2025</v>
      </c>
      <c r="C318" s="7" t="s">
        <v>23</v>
      </c>
      <c r="D318" s="2" t="s">
        <v>15</v>
      </c>
      <c r="E318" s="2" t="s">
        <v>15</v>
      </c>
      <c r="F318" s="7" t="s">
        <v>16</v>
      </c>
      <c r="G318" s="52">
        <v>0.33999999999999997</v>
      </c>
      <c r="H318" s="29">
        <v>273468</v>
      </c>
      <c r="I318" s="55">
        <f t="shared" si="13"/>
        <v>92979.12</v>
      </c>
      <c r="J318" s="29">
        <v>41660.490000000333</v>
      </c>
      <c r="K318" s="54">
        <f t="shared" si="12"/>
        <v>2.2318297264386295</v>
      </c>
      <c r="L318" s="15"/>
      <c r="M318" s="49">
        <v>513.14069417539702</v>
      </c>
      <c r="N318" s="49">
        <f t="shared" si="14"/>
        <v>47711370.180617541</v>
      </c>
    </row>
    <row r="319" spans="2:14" s="16" customFormat="1" ht="15.75" customHeight="1">
      <c r="B319" s="7">
        <v>2025</v>
      </c>
      <c r="C319" s="7" t="s">
        <v>23</v>
      </c>
      <c r="D319" s="2" t="s">
        <v>15</v>
      </c>
      <c r="E319" s="2" t="s">
        <v>15</v>
      </c>
      <c r="F319" s="7" t="s">
        <v>17</v>
      </c>
      <c r="G319" s="52">
        <v>0.19000031061799064</v>
      </c>
      <c r="H319" s="29">
        <v>273468</v>
      </c>
      <c r="I319" s="55">
        <f t="shared" si="13"/>
        <v>51959.004944080662</v>
      </c>
      <c r="J319" s="29">
        <v>24963.372000000199</v>
      </c>
      <c r="K319" s="54">
        <f t="shared" si="12"/>
        <v>2.0814097127615709</v>
      </c>
      <c r="L319" s="15"/>
      <c r="M319" s="49">
        <v>513.14069417539702</v>
      </c>
      <c r="N319" s="49">
        <f t="shared" si="14"/>
        <v>26662279.865668435</v>
      </c>
    </row>
    <row r="320" spans="2:14" s="16" customFormat="1" ht="15.75" customHeight="1">
      <c r="B320" s="7">
        <v>2025</v>
      </c>
      <c r="C320" s="7" t="s">
        <v>23</v>
      </c>
      <c r="D320" s="2" t="s">
        <v>15</v>
      </c>
      <c r="E320" s="2" t="s">
        <v>15</v>
      </c>
      <c r="F320" s="7" t="s">
        <v>18</v>
      </c>
      <c r="G320" s="52">
        <v>0.19999999999999998</v>
      </c>
      <c r="H320" s="29">
        <v>273468</v>
      </c>
      <c r="I320" s="55">
        <f t="shared" si="13"/>
        <v>54693.599999999999</v>
      </c>
      <c r="J320" s="29">
        <v>36340.223999999987</v>
      </c>
      <c r="K320" s="54">
        <f t="shared" si="12"/>
        <v>1.5050430068895562</v>
      </c>
      <c r="L320" s="15"/>
      <c r="M320" s="49">
        <v>513.14069417539702</v>
      </c>
      <c r="N320" s="49">
        <f t="shared" si="14"/>
        <v>28065511.870951492</v>
      </c>
    </row>
    <row r="321" spans="2:14" s="16" customFormat="1" ht="15.75" customHeight="1">
      <c r="B321" s="7">
        <v>2025</v>
      </c>
      <c r="C321" s="7" t="s">
        <v>23</v>
      </c>
      <c r="D321" s="2" t="s">
        <v>15</v>
      </c>
      <c r="E321" s="2" t="s">
        <v>15</v>
      </c>
      <c r="F321" s="7" t="s">
        <v>19</v>
      </c>
      <c r="G321" s="52">
        <v>0.26999999999999996</v>
      </c>
      <c r="H321" s="29">
        <v>273468</v>
      </c>
      <c r="I321" s="55">
        <f t="shared" si="13"/>
        <v>73836.359999999986</v>
      </c>
      <c r="J321" s="29">
        <v>31568.569500000398</v>
      </c>
      <c r="K321" s="54">
        <f t="shared" si="12"/>
        <v>2.3389200451417049</v>
      </c>
      <c r="L321" s="15"/>
      <c r="M321" s="49">
        <v>513.14069417539702</v>
      </c>
      <c r="N321" s="49">
        <f t="shared" si="14"/>
        <v>37888441.025784507</v>
      </c>
    </row>
    <row r="322" spans="2:14" s="16" customFormat="1" ht="15.75" customHeight="1">
      <c r="B322" s="7">
        <v>2025</v>
      </c>
      <c r="C322" s="7" t="s">
        <v>23</v>
      </c>
      <c r="D322" s="2" t="s">
        <v>15</v>
      </c>
      <c r="E322" s="2" t="s">
        <v>15</v>
      </c>
      <c r="F322" s="22" t="s">
        <v>20</v>
      </c>
      <c r="G322" s="53">
        <v>1</v>
      </c>
      <c r="H322" s="29">
        <v>273468</v>
      </c>
      <c r="I322" s="55">
        <f t="shared" si="13"/>
        <v>273468</v>
      </c>
      <c r="J322" s="29">
        <f>SUM(J318:J321)</f>
        <v>134532.65550000092</v>
      </c>
      <c r="K322" s="54">
        <f t="shared" si="12"/>
        <v>2.0327258016548861</v>
      </c>
      <c r="L322" s="15"/>
      <c r="M322" s="49">
        <v>513.14069417539702</v>
      </c>
      <c r="N322" s="49">
        <f t="shared" si="14"/>
        <v>140327559.35475746</v>
      </c>
    </row>
    <row r="323" spans="2:14" s="16" customFormat="1" ht="15.75" customHeight="1">
      <c r="B323" s="7">
        <v>2025</v>
      </c>
      <c r="C323" s="7" t="s">
        <v>24</v>
      </c>
      <c r="D323" s="2" t="s">
        <v>15</v>
      </c>
      <c r="E323" s="2" t="s">
        <v>15</v>
      </c>
      <c r="F323" s="7" t="s">
        <v>16</v>
      </c>
      <c r="G323" s="52">
        <v>0.33999999999999997</v>
      </c>
      <c r="H323" s="29">
        <v>248543</v>
      </c>
      <c r="I323" s="55">
        <f t="shared" si="13"/>
        <v>84504.62</v>
      </c>
      <c r="J323" s="29">
        <v>38686.890000000174</v>
      </c>
      <c r="K323" s="54">
        <f t="shared" si="12"/>
        <v>2.1843218723448592</v>
      </c>
      <c r="L323" s="15"/>
      <c r="M323" s="49">
        <v>536.455048245488</v>
      </c>
      <c r="N323" s="49">
        <f t="shared" si="14"/>
        <v>45332929.999066629</v>
      </c>
    </row>
    <row r="324" spans="2:14" s="16" customFormat="1" ht="15.75" customHeight="1">
      <c r="B324" s="7">
        <v>2025</v>
      </c>
      <c r="C324" s="7" t="s">
        <v>24</v>
      </c>
      <c r="D324" s="2" t="s">
        <v>15</v>
      </c>
      <c r="E324" s="2" t="s">
        <v>15</v>
      </c>
      <c r="F324" s="7" t="s">
        <v>17</v>
      </c>
      <c r="G324" s="52">
        <v>0.19000031061799064</v>
      </c>
      <c r="H324" s="29">
        <v>248543</v>
      </c>
      <c r="I324" s="55">
        <f t="shared" si="13"/>
        <v>47223.247201927246</v>
      </c>
      <c r="J324" s="29">
        <v>24164.748000000152</v>
      </c>
      <c r="K324" s="54">
        <f t="shared" ref="K324:K387" si="15">IFERROR(I324/J324,0)</f>
        <v>1.9542205530935786</v>
      </c>
      <c r="L324" s="15"/>
      <c r="M324" s="49">
        <v>536.455048245488</v>
      </c>
      <c r="N324" s="49">
        <f t="shared" si="14"/>
        <v>25333149.356018487</v>
      </c>
    </row>
    <row r="325" spans="2:14" s="16" customFormat="1" ht="15.75" customHeight="1">
      <c r="B325" s="7">
        <v>2025</v>
      </c>
      <c r="C325" s="7" t="s">
        <v>24</v>
      </c>
      <c r="D325" s="2" t="s">
        <v>15</v>
      </c>
      <c r="E325" s="2" t="s">
        <v>15</v>
      </c>
      <c r="F325" s="7" t="s">
        <v>18</v>
      </c>
      <c r="G325" s="52">
        <v>0.19999999999999998</v>
      </c>
      <c r="H325" s="29">
        <v>248543</v>
      </c>
      <c r="I325" s="55">
        <f t="shared" si="13"/>
        <v>49708.6</v>
      </c>
      <c r="J325" s="29">
        <v>34001.700000000092</v>
      </c>
      <c r="K325" s="54">
        <f t="shared" si="15"/>
        <v>1.4619445498313279</v>
      </c>
      <c r="L325" s="15"/>
      <c r="M325" s="49">
        <v>536.455048245488</v>
      </c>
      <c r="N325" s="49">
        <f t="shared" si="14"/>
        <v>26666429.411215663</v>
      </c>
    </row>
    <row r="326" spans="2:14" s="16" customFormat="1" ht="15.75" customHeight="1">
      <c r="B326" s="7">
        <v>2025</v>
      </c>
      <c r="C326" s="7" t="s">
        <v>24</v>
      </c>
      <c r="D326" s="2" t="s">
        <v>15</v>
      </c>
      <c r="E326" s="2" t="s">
        <v>15</v>
      </c>
      <c r="F326" s="7" t="s">
        <v>19</v>
      </c>
      <c r="G326" s="52">
        <v>0.26999999999999996</v>
      </c>
      <c r="H326" s="29">
        <v>248543</v>
      </c>
      <c r="I326" s="55">
        <f t="shared" si="13"/>
        <v>67106.609999999986</v>
      </c>
      <c r="J326" s="29">
        <v>31855.858200000341</v>
      </c>
      <c r="K326" s="54">
        <f t="shared" si="15"/>
        <v>2.1065704643298315</v>
      </c>
      <c r="L326" s="15"/>
      <c r="M326" s="49">
        <v>536.455048245488</v>
      </c>
      <c r="N326" s="49">
        <f t="shared" si="14"/>
        <v>35999679.705141142</v>
      </c>
    </row>
    <row r="327" spans="2:14" s="16" customFormat="1" ht="15.75" customHeight="1">
      <c r="B327" s="7">
        <v>2025</v>
      </c>
      <c r="C327" s="7" t="s">
        <v>24</v>
      </c>
      <c r="D327" s="2" t="s">
        <v>15</v>
      </c>
      <c r="E327" s="2" t="s">
        <v>15</v>
      </c>
      <c r="F327" s="22" t="s">
        <v>20</v>
      </c>
      <c r="G327" s="53">
        <v>1</v>
      </c>
      <c r="H327" s="29">
        <v>248543</v>
      </c>
      <c r="I327" s="55">
        <f t="shared" si="13"/>
        <v>248543</v>
      </c>
      <c r="J327" s="29">
        <f>SUM(J323:J326)</f>
        <v>128709.19620000076</v>
      </c>
      <c r="K327" s="54">
        <f t="shared" si="15"/>
        <v>1.9310430593769687</v>
      </c>
      <c r="L327" s="15"/>
      <c r="M327" s="49">
        <v>536.455048245488</v>
      </c>
      <c r="N327" s="49">
        <f t="shared" si="14"/>
        <v>133332147.05607833</v>
      </c>
    </row>
    <row r="328" spans="2:14" s="16" customFormat="1" ht="15.75" customHeight="1">
      <c r="B328" s="7">
        <v>2025</v>
      </c>
      <c r="C328" s="7" t="s">
        <v>25</v>
      </c>
      <c r="D328" s="2" t="s">
        <v>15</v>
      </c>
      <c r="E328" s="2" t="s">
        <v>15</v>
      </c>
      <c r="F328" s="7" t="s">
        <v>16</v>
      </c>
      <c r="G328" s="52">
        <v>0.33999999999999997</v>
      </c>
      <c r="H328" s="29">
        <v>279618</v>
      </c>
      <c r="I328" s="55">
        <f t="shared" ref="I328:I391" si="16">G328*H328</f>
        <v>95070.12</v>
      </c>
      <c r="J328" s="29">
        <v>41235.33600000009</v>
      </c>
      <c r="K328" s="54">
        <f t="shared" si="15"/>
        <v>2.3055497838067764</v>
      </c>
      <c r="L328" s="15"/>
      <c r="M328" s="49">
        <v>554.65298208047943</v>
      </c>
      <c r="N328" s="49">
        <f t="shared" si="14"/>
        <v>52730925.564749025</v>
      </c>
    </row>
    <row r="329" spans="2:14" s="16" customFormat="1" ht="15.75" customHeight="1">
      <c r="B329" s="7">
        <v>2025</v>
      </c>
      <c r="C329" s="7" t="s">
        <v>25</v>
      </c>
      <c r="D329" s="2" t="s">
        <v>15</v>
      </c>
      <c r="E329" s="2" t="s">
        <v>15</v>
      </c>
      <c r="F329" s="7" t="s">
        <v>17</v>
      </c>
      <c r="G329" s="52">
        <v>0.19000031061799064</v>
      </c>
      <c r="H329" s="29">
        <v>279618</v>
      </c>
      <c r="I329" s="55">
        <f t="shared" si="16"/>
        <v>53127.506854381303</v>
      </c>
      <c r="J329" s="29">
        <v>25942.182000000146</v>
      </c>
      <c r="K329" s="54">
        <f t="shared" si="15"/>
        <v>2.0479197491707137</v>
      </c>
      <c r="L329" s="15"/>
      <c r="M329" s="49">
        <v>554.65298208047943</v>
      </c>
      <c r="N329" s="49">
        <f t="shared" si="14"/>
        <v>29467330.1072837</v>
      </c>
    </row>
    <row r="330" spans="2:14" s="16" customFormat="1" ht="15.75" customHeight="1">
      <c r="B330" s="7">
        <v>2025</v>
      </c>
      <c r="C330" s="7" t="s">
        <v>25</v>
      </c>
      <c r="D330" s="2" t="s">
        <v>15</v>
      </c>
      <c r="E330" s="2" t="s">
        <v>15</v>
      </c>
      <c r="F330" s="7" t="s">
        <v>18</v>
      </c>
      <c r="G330" s="52">
        <v>0.19999999999999998</v>
      </c>
      <c r="H330" s="29">
        <v>279618</v>
      </c>
      <c r="I330" s="55">
        <f t="shared" si="16"/>
        <v>55923.6</v>
      </c>
      <c r="J330" s="29">
        <v>37014.239999999918</v>
      </c>
      <c r="K330" s="54">
        <f t="shared" si="15"/>
        <v>1.5108671689598414</v>
      </c>
      <c r="L330" s="15"/>
      <c r="M330" s="49">
        <v>554.65298208047943</v>
      </c>
      <c r="N330" s="49">
        <f t="shared" si="14"/>
        <v>31018191.508675899</v>
      </c>
    </row>
    <row r="331" spans="2:14" s="16" customFormat="1" ht="15.75" customHeight="1">
      <c r="B331" s="7">
        <v>2025</v>
      </c>
      <c r="C331" s="7" t="s">
        <v>25</v>
      </c>
      <c r="D331" s="2" t="s">
        <v>15</v>
      </c>
      <c r="E331" s="2" t="s">
        <v>15</v>
      </c>
      <c r="F331" s="7" t="s">
        <v>19</v>
      </c>
      <c r="G331" s="52">
        <v>0.26999999999999996</v>
      </c>
      <c r="H331" s="29">
        <v>279618</v>
      </c>
      <c r="I331" s="55">
        <f t="shared" si="16"/>
        <v>75496.859999999986</v>
      </c>
      <c r="J331" s="29">
        <v>35506.677900000854</v>
      </c>
      <c r="K331" s="54">
        <f t="shared" si="15"/>
        <v>2.1262721399232389</v>
      </c>
      <c r="L331" s="15"/>
      <c r="M331" s="49">
        <v>554.65298208047943</v>
      </c>
      <c r="N331" s="49">
        <f t="shared" si="14"/>
        <v>41874558.53671246</v>
      </c>
    </row>
    <row r="332" spans="2:14" s="16" customFormat="1" ht="15.75" customHeight="1">
      <c r="B332" s="7">
        <v>2025</v>
      </c>
      <c r="C332" s="7" t="s">
        <v>25</v>
      </c>
      <c r="D332" s="2" t="s">
        <v>15</v>
      </c>
      <c r="E332" s="2" t="s">
        <v>15</v>
      </c>
      <c r="F332" s="22" t="s">
        <v>20</v>
      </c>
      <c r="G332" s="53">
        <v>1</v>
      </c>
      <c r="H332" s="29">
        <v>279618</v>
      </c>
      <c r="I332" s="55">
        <f t="shared" si="16"/>
        <v>279618</v>
      </c>
      <c r="J332" s="29">
        <f>SUM(J328:J331)</f>
        <v>139698.43590000103</v>
      </c>
      <c r="K332" s="54">
        <f t="shared" si="15"/>
        <v>2.0015828967487956</v>
      </c>
      <c r="L332" s="15"/>
      <c r="M332" s="49">
        <v>554.65298208047943</v>
      </c>
      <c r="N332" s="49">
        <f t="shared" si="14"/>
        <v>155090957.54337949</v>
      </c>
    </row>
    <row r="333" spans="2:14" s="16" customFormat="1" ht="15.75" customHeight="1">
      <c r="B333" s="7">
        <v>2025</v>
      </c>
      <c r="C333" s="7" t="s">
        <v>26</v>
      </c>
      <c r="D333" s="2" t="s">
        <v>15</v>
      </c>
      <c r="E333" s="2" t="s">
        <v>15</v>
      </c>
      <c r="F333" s="7" t="s">
        <v>16</v>
      </c>
      <c r="G333" s="52">
        <v>0.33999999999999997</v>
      </c>
      <c r="H333" s="29">
        <v>272907</v>
      </c>
      <c r="I333" s="55">
        <f t="shared" si="16"/>
        <v>92788.37999999999</v>
      </c>
      <c r="J333" s="29">
        <v>40613.358000000226</v>
      </c>
      <c r="K333" s="54">
        <f t="shared" si="15"/>
        <v>2.2846763865228645</v>
      </c>
      <c r="L333" s="15"/>
      <c r="M333" s="49"/>
      <c r="N333" s="49">
        <f t="shared" si="14"/>
        <v>0</v>
      </c>
    </row>
    <row r="334" spans="2:14" s="16" customFormat="1" ht="15.75" customHeight="1">
      <c r="B334" s="7">
        <v>2025</v>
      </c>
      <c r="C334" s="7" t="s">
        <v>26</v>
      </c>
      <c r="D334" s="2" t="s">
        <v>15</v>
      </c>
      <c r="E334" s="2" t="s">
        <v>15</v>
      </c>
      <c r="F334" s="7" t="s">
        <v>17</v>
      </c>
      <c r="G334" s="52">
        <v>0.19000031061799064</v>
      </c>
      <c r="H334" s="29">
        <v>272907</v>
      </c>
      <c r="I334" s="55">
        <f t="shared" si="16"/>
        <v>51852.414769823969</v>
      </c>
      <c r="J334" s="29">
        <v>25589.598000000067</v>
      </c>
      <c r="K334" s="54">
        <f t="shared" si="15"/>
        <v>2.0263082979976406</v>
      </c>
      <c r="L334" s="15"/>
      <c r="M334" s="49"/>
      <c r="N334" s="49">
        <f t="shared" si="14"/>
        <v>0</v>
      </c>
    </row>
    <row r="335" spans="2:14" s="16" customFormat="1" ht="15.75" customHeight="1">
      <c r="B335" s="7">
        <v>2025</v>
      </c>
      <c r="C335" s="7" t="s">
        <v>26</v>
      </c>
      <c r="D335" s="2" t="s">
        <v>15</v>
      </c>
      <c r="E335" s="2" t="s">
        <v>15</v>
      </c>
      <c r="F335" s="7" t="s">
        <v>18</v>
      </c>
      <c r="G335" s="52">
        <v>0.19999999999999998</v>
      </c>
      <c r="H335" s="29">
        <v>272907</v>
      </c>
      <c r="I335" s="55">
        <f t="shared" si="16"/>
        <v>54581.399999999994</v>
      </c>
      <c r="J335" s="29">
        <v>35672.579999999994</v>
      </c>
      <c r="K335" s="54">
        <f t="shared" si="15"/>
        <v>1.5300659498135543</v>
      </c>
      <c r="L335" s="15"/>
      <c r="M335" s="49"/>
      <c r="N335" s="49">
        <f t="shared" si="14"/>
        <v>0</v>
      </c>
    </row>
    <row r="336" spans="2:14" s="16" customFormat="1" ht="15.75" customHeight="1">
      <c r="B336" s="7">
        <v>2025</v>
      </c>
      <c r="C336" s="7" t="s">
        <v>26</v>
      </c>
      <c r="D336" s="2" t="s">
        <v>15</v>
      </c>
      <c r="E336" s="2" t="s">
        <v>15</v>
      </c>
      <c r="F336" s="7" t="s">
        <v>19</v>
      </c>
      <c r="G336" s="52">
        <v>0.26999999999999996</v>
      </c>
      <c r="H336" s="29">
        <v>272907</v>
      </c>
      <c r="I336" s="55">
        <f t="shared" si="16"/>
        <v>73684.889999999985</v>
      </c>
      <c r="J336" s="29">
        <v>33772.626600000607</v>
      </c>
      <c r="K336" s="54">
        <f t="shared" si="15"/>
        <v>2.181793286992924</v>
      </c>
      <c r="L336" s="15"/>
      <c r="M336" s="49"/>
      <c r="N336" s="49">
        <f t="shared" si="14"/>
        <v>0</v>
      </c>
    </row>
    <row r="337" spans="2:14" s="16" customFormat="1" ht="15.75" customHeight="1">
      <c r="B337" s="7">
        <v>2025</v>
      </c>
      <c r="C337" s="7" t="s">
        <v>26</v>
      </c>
      <c r="D337" s="2" t="s">
        <v>15</v>
      </c>
      <c r="E337" s="2" t="s">
        <v>15</v>
      </c>
      <c r="F337" s="22" t="s">
        <v>20</v>
      </c>
      <c r="G337" s="53">
        <v>1</v>
      </c>
      <c r="H337" s="29">
        <v>272907</v>
      </c>
      <c r="I337" s="55">
        <f t="shared" si="16"/>
        <v>272907</v>
      </c>
      <c r="J337" s="29">
        <f>SUM(J333:J336)</f>
        <v>135648.16260000088</v>
      </c>
      <c r="K337" s="54">
        <f t="shared" si="15"/>
        <v>2.0118739153492835</v>
      </c>
      <c r="L337" s="15"/>
      <c r="M337" s="49"/>
      <c r="N337" s="49">
        <f t="shared" si="14"/>
        <v>0</v>
      </c>
    </row>
    <row r="338" spans="2:14" s="16" customFormat="1" ht="15.75" customHeight="1">
      <c r="B338" s="7">
        <v>2025</v>
      </c>
      <c r="C338" s="7" t="s">
        <v>27</v>
      </c>
      <c r="D338" s="2" t="s">
        <v>15</v>
      </c>
      <c r="E338" s="2" t="s">
        <v>15</v>
      </c>
      <c r="F338" s="7" t="s">
        <v>16</v>
      </c>
      <c r="G338" s="52">
        <v>0.33999999999999997</v>
      </c>
      <c r="H338" s="29">
        <v>277076</v>
      </c>
      <c r="I338" s="55">
        <f t="shared" si="16"/>
        <v>94205.84</v>
      </c>
      <c r="J338" s="29">
        <v>39951.732000000251</v>
      </c>
      <c r="K338" s="54">
        <f t="shared" si="15"/>
        <v>2.357991388208136</v>
      </c>
      <c r="L338" s="15"/>
      <c r="M338" s="49"/>
      <c r="N338" s="49">
        <f t="shared" si="14"/>
        <v>0</v>
      </c>
    </row>
    <row r="339" spans="2:14" s="16" customFormat="1" ht="15.75" customHeight="1">
      <c r="B339" s="7">
        <v>2025</v>
      </c>
      <c r="C339" s="7" t="s">
        <v>27</v>
      </c>
      <c r="D339" s="2" t="s">
        <v>15</v>
      </c>
      <c r="E339" s="2" t="s">
        <v>15</v>
      </c>
      <c r="F339" s="7" t="s">
        <v>17</v>
      </c>
      <c r="G339" s="52">
        <v>0.19000031061799064</v>
      </c>
      <c r="H339" s="29">
        <v>277076</v>
      </c>
      <c r="I339" s="55">
        <f t="shared" si="16"/>
        <v>52644.526064790371</v>
      </c>
      <c r="J339" s="29">
        <v>25879.524000000059</v>
      </c>
      <c r="K339" s="54">
        <f t="shared" si="15"/>
        <v>2.0342153922456321</v>
      </c>
      <c r="L339" s="15"/>
      <c r="M339" s="49"/>
      <c r="N339" s="49">
        <f t="shared" si="14"/>
        <v>0</v>
      </c>
    </row>
    <row r="340" spans="2:14" s="16" customFormat="1" ht="15.75" customHeight="1">
      <c r="B340" s="7">
        <v>2025</v>
      </c>
      <c r="C340" s="7" t="s">
        <v>27</v>
      </c>
      <c r="D340" s="2" t="s">
        <v>15</v>
      </c>
      <c r="E340" s="2" t="s">
        <v>15</v>
      </c>
      <c r="F340" s="7" t="s">
        <v>18</v>
      </c>
      <c r="G340" s="52">
        <v>0.19999999999999998</v>
      </c>
      <c r="H340" s="29">
        <v>277076</v>
      </c>
      <c r="I340" s="55">
        <f t="shared" si="16"/>
        <v>55415.199999999997</v>
      </c>
      <c r="J340" s="29">
        <v>37664.892000000058</v>
      </c>
      <c r="K340" s="54">
        <f t="shared" si="15"/>
        <v>1.4712693189190589</v>
      </c>
      <c r="L340" s="15"/>
      <c r="M340" s="49"/>
      <c r="N340" s="49">
        <f t="shared" si="14"/>
        <v>0</v>
      </c>
    </row>
    <row r="341" spans="2:14" s="16" customFormat="1" ht="15.75" customHeight="1">
      <c r="B341" s="7">
        <v>2025</v>
      </c>
      <c r="C341" s="7" t="s">
        <v>27</v>
      </c>
      <c r="D341" s="2" t="s">
        <v>15</v>
      </c>
      <c r="E341" s="2" t="s">
        <v>15</v>
      </c>
      <c r="F341" s="7" t="s">
        <v>19</v>
      </c>
      <c r="G341" s="52">
        <v>0.26999999999999996</v>
      </c>
      <c r="H341" s="29">
        <v>277076</v>
      </c>
      <c r="I341" s="55">
        <f t="shared" si="16"/>
        <v>74810.51999999999</v>
      </c>
      <c r="J341" s="29">
        <v>32224.319100000488</v>
      </c>
      <c r="K341" s="54">
        <f t="shared" si="15"/>
        <v>2.3215547167294175</v>
      </c>
      <c r="L341" s="15"/>
      <c r="M341" s="49"/>
      <c r="N341" s="49">
        <f t="shared" si="14"/>
        <v>0</v>
      </c>
    </row>
    <row r="342" spans="2:14" s="16" customFormat="1" ht="15.75" customHeight="1">
      <c r="B342" s="7">
        <v>2025</v>
      </c>
      <c r="C342" s="7" t="s">
        <v>27</v>
      </c>
      <c r="D342" s="2" t="s">
        <v>15</v>
      </c>
      <c r="E342" s="2" t="s">
        <v>15</v>
      </c>
      <c r="F342" s="22" t="s">
        <v>20</v>
      </c>
      <c r="G342" s="53">
        <v>1</v>
      </c>
      <c r="H342" s="29">
        <v>277076</v>
      </c>
      <c r="I342" s="55">
        <f t="shared" si="16"/>
        <v>277076</v>
      </c>
      <c r="J342" s="29">
        <f>SUM(J338:J341)</f>
        <v>135720.46710000085</v>
      </c>
      <c r="K342" s="54">
        <f t="shared" si="15"/>
        <v>2.0415196463761527</v>
      </c>
      <c r="L342" s="15"/>
      <c r="M342" s="49"/>
      <c r="N342" s="49">
        <f t="shared" si="14"/>
        <v>0</v>
      </c>
    </row>
    <row r="343" spans="2:14" s="16" customFormat="1" ht="15.75" customHeight="1">
      <c r="B343" s="7">
        <v>2025</v>
      </c>
      <c r="C343" s="7" t="s">
        <v>28</v>
      </c>
      <c r="D343" s="2" t="s">
        <v>15</v>
      </c>
      <c r="E343" s="2" t="s">
        <v>15</v>
      </c>
      <c r="F343" s="7" t="s">
        <v>16</v>
      </c>
      <c r="G343" s="52">
        <v>0.33999999999999997</v>
      </c>
      <c r="H343" s="29">
        <v>266944</v>
      </c>
      <c r="I343" s="55">
        <f t="shared" si="16"/>
        <v>90760.959999999992</v>
      </c>
      <c r="J343" s="29">
        <v>37939.242000000144</v>
      </c>
      <c r="K343" s="54">
        <f t="shared" si="15"/>
        <v>2.3922713057893894</v>
      </c>
      <c r="L343" s="15"/>
      <c r="M343" s="49"/>
      <c r="N343" s="49">
        <f t="shared" si="14"/>
        <v>0</v>
      </c>
    </row>
    <row r="344" spans="2:14" s="16" customFormat="1" ht="15.75" customHeight="1">
      <c r="B344" s="7">
        <v>2025</v>
      </c>
      <c r="C344" s="7" t="s">
        <v>28</v>
      </c>
      <c r="D344" s="2" t="s">
        <v>15</v>
      </c>
      <c r="E344" s="2" t="s">
        <v>15</v>
      </c>
      <c r="F344" s="7" t="s">
        <v>17</v>
      </c>
      <c r="G344" s="52">
        <v>0.19000031061799064</v>
      </c>
      <c r="H344" s="29">
        <v>266944</v>
      </c>
      <c r="I344" s="55">
        <f t="shared" si="16"/>
        <v>50719.442917608896</v>
      </c>
      <c r="J344" s="29">
        <v>25741.110000000153</v>
      </c>
      <c r="K344" s="54">
        <f t="shared" si="15"/>
        <v>1.9703673585796648</v>
      </c>
      <c r="L344" s="15"/>
      <c r="M344" s="49"/>
      <c r="N344" s="49">
        <f t="shared" si="14"/>
        <v>0</v>
      </c>
    </row>
    <row r="345" spans="2:14" s="16" customFormat="1" ht="15.75" customHeight="1">
      <c r="B345" s="7">
        <v>2025</v>
      </c>
      <c r="C345" s="7" t="s">
        <v>28</v>
      </c>
      <c r="D345" s="2" t="s">
        <v>15</v>
      </c>
      <c r="E345" s="2" t="s">
        <v>15</v>
      </c>
      <c r="F345" s="7" t="s">
        <v>18</v>
      </c>
      <c r="G345" s="52">
        <v>0.19999999999999998</v>
      </c>
      <c r="H345" s="29">
        <v>266944</v>
      </c>
      <c r="I345" s="55">
        <f t="shared" si="16"/>
        <v>53388.799999999996</v>
      </c>
      <c r="J345" s="29">
        <v>35300.525999999998</v>
      </c>
      <c r="K345" s="54">
        <f t="shared" si="15"/>
        <v>1.512408058735442</v>
      </c>
      <c r="L345" s="15"/>
      <c r="M345" s="49"/>
      <c r="N345" s="49">
        <f t="shared" si="14"/>
        <v>0</v>
      </c>
    </row>
    <row r="346" spans="2:14" s="16" customFormat="1" ht="15.75" customHeight="1">
      <c r="B346" s="7">
        <v>2025</v>
      </c>
      <c r="C346" s="7" t="s">
        <v>28</v>
      </c>
      <c r="D346" s="2" t="s">
        <v>15</v>
      </c>
      <c r="E346" s="2" t="s">
        <v>15</v>
      </c>
      <c r="F346" s="7" t="s">
        <v>19</v>
      </c>
      <c r="G346" s="52">
        <v>0.26999999999999996</v>
      </c>
      <c r="H346" s="29">
        <v>266944</v>
      </c>
      <c r="I346" s="55">
        <f t="shared" si="16"/>
        <v>72074.87999999999</v>
      </c>
      <c r="J346" s="29">
        <v>31031.675400000542</v>
      </c>
      <c r="K346" s="54">
        <f t="shared" si="15"/>
        <v>2.3226229029193419</v>
      </c>
      <c r="L346" s="15"/>
      <c r="M346" s="49"/>
      <c r="N346" s="49">
        <f t="shared" si="14"/>
        <v>0</v>
      </c>
    </row>
    <row r="347" spans="2:14" s="16" customFormat="1" ht="15.75" customHeight="1">
      <c r="B347" s="7">
        <v>2025</v>
      </c>
      <c r="C347" s="7" t="s">
        <v>28</v>
      </c>
      <c r="D347" s="2" t="s">
        <v>15</v>
      </c>
      <c r="E347" s="2" t="s">
        <v>15</v>
      </c>
      <c r="F347" s="22" t="s">
        <v>20</v>
      </c>
      <c r="G347" s="53">
        <v>1</v>
      </c>
      <c r="H347" s="29">
        <v>266944</v>
      </c>
      <c r="I347" s="55">
        <f t="shared" si="16"/>
        <v>266944</v>
      </c>
      <c r="J347" s="29">
        <f>SUM(J343:J346)</f>
        <v>130012.55340000083</v>
      </c>
      <c r="K347" s="54">
        <f t="shared" si="15"/>
        <v>2.0532171164942161</v>
      </c>
      <c r="L347" s="15"/>
      <c r="M347" s="49"/>
      <c r="N347" s="49">
        <f t="shared" si="14"/>
        <v>0</v>
      </c>
    </row>
    <row r="348" spans="2:14" s="16" customFormat="1" ht="15.75" customHeight="1">
      <c r="B348" s="7">
        <v>2025</v>
      </c>
      <c r="C348" s="7" t="s">
        <v>29</v>
      </c>
      <c r="D348" s="2" t="s">
        <v>15</v>
      </c>
      <c r="E348" s="2" t="s">
        <v>15</v>
      </c>
      <c r="F348" s="7" t="s">
        <v>16</v>
      </c>
      <c r="G348" s="52">
        <v>0.33999999999999997</v>
      </c>
      <c r="H348" s="29">
        <v>259971</v>
      </c>
      <c r="I348" s="55">
        <f t="shared" si="16"/>
        <v>88390.139999999985</v>
      </c>
      <c r="J348" s="29">
        <v>34764.215999999898</v>
      </c>
      <c r="K348" s="54">
        <f t="shared" si="15"/>
        <v>2.542561005834282</v>
      </c>
      <c r="L348" s="15"/>
      <c r="M348" s="49"/>
      <c r="N348" s="49">
        <f t="shared" si="14"/>
        <v>0</v>
      </c>
    </row>
    <row r="349" spans="2:14" s="16" customFormat="1" ht="15.75" customHeight="1">
      <c r="B349" s="7">
        <v>2025</v>
      </c>
      <c r="C349" s="7" t="s">
        <v>29</v>
      </c>
      <c r="D349" s="2" t="s">
        <v>15</v>
      </c>
      <c r="E349" s="2" t="s">
        <v>15</v>
      </c>
      <c r="F349" s="7" t="s">
        <v>17</v>
      </c>
      <c r="G349" s="52">
        <v>0.19000031061799064</v>
      </c>
      <c r="H349" s="29">
        <v>259971</v>
      </c>
      <c r="I349" s="55">
        <f t="shared" si="16"/>
        <v>49394.570751669642</v>
      </c>
      <c r="J349" s="29">
        <v>26053.692000000072</v>
      </c>
      <c r="K349" s="54">
        <f t="shared" si="15"/>
        <v>1.8958760528707219</v>
      </c>
      <c r="L349" s="15"/>
      <c r="M349" s="49"/>
      <c r="N349" s="49">
        <f t="shared" si="14"/>
        <v>0</v>
      </c>
    </row>
    <row r="350" spans="2:14" s="16" customFormat="1" ht="15.75" customHeight="1">
      <c r="B350" s="7">
        <v>2025</v>
      </c>
      <c r="C350" s="7" t="s">
        <v>29</v>
      </c>
      <c r="D350" s="2" t="s">
        <v>15</v>
      </c>
      <c r="E350" s="2" t="s">
        <v>15</v>
      </c>
      <c r="F350" s="7" t="s">
        <v>18</v>
      </c>
      <c r="G350" s="52">
        <v>0.19999999999999998</v>
      </c>
      <c r="H350" s="29">
        <v>259971</v>
      </c>
      <c r="I350" s="55">
        <f t="shared" si="16"/>
        <v>51994.2</v>
      </c>
      <c r="J350" s="29">
        <v>35073.612000000037</v>
      </c>
      <c r="K350" s="54">
        <f t="shared" si="15"/>
        <v>1.4824307231316791</v>
      </c>
      <c r="L350" s="15"/>
      <c r="M350" s="49"/>
      <c r="N350" s="49">
        <f t="shared" si="14"/>
        <v>0</v>
      </c>
    </row>
    <row r="351" spans="2:14" s="16" customFormat="1" ht="15.75" customHeight="1">
      <c r="B351" s="7">
        <v>2025</v>
      </c>
      <c r="C351" s="7" t="s">
        <v>29</v>
      </c>
      <c r="D351" s="2" t="s">
        <v>15</v>
      </c>
      <c r="E351" s="2" t="s">
        <v>15</v>
      </c>
      <c r="F351" s="7" t="s">
        <v>19</v>
      </c>
      <c r="G351" s="52">
        <v>0.26999999999999996</v>
      </c>
      <c r="H351" s="29">
        <v>259971</v>
      </c>
      <c r="I351" s="55">
        <f t="shared" si="16"/>
        <v>70192.169999999984</v>
      </c>
      <c r="J351" s="29">
        <v>30059.007300000332</v>
      </c>
      <c r="K351" s="54">
        <f t="shared" si="15"/>
        <v>2.3351459780243378</v>
      </c>
      <c r="L351" s="15"/>
      <c r="M351" s="49"/>
      <c r="N351" s="49">
        <f t="shared" si="14"/>
        <v>0</v>
      </c>
    </row>
    <row r="352" spans="2:14" s="16" customFormat="1" ht="15.75" customHeight="1">
      <c r="B352" s="7">
        <v>2025</v>
      </c>
      <c r="C352" s="7" t="s">
        <v>29</v>
      </c>
      <c r="D352" s="2" t="s">
        <v>15</v>
      </c>
      <c r="E352" s="2" t="s">
        <v>15</v>
      </c>
      <c r="F352" s="22" t="s">
        <v>20</v>
      </c>
      <c r="G352" s="53">
        <v>1</v>
      </c>
      <c r="H352" s="29">
        <v>259971</v>
      </c>
      <c r="I352" s="55">
        <f t="shared" si="16"/>
        <v>259971</v>
      </c>
      <c r="J352" s="29">
        <f>SUM(J348:J351)</f>
        <v>125950.52730000034</v>
      </c>
      <c r="K352" s="54">
        <f t="shared" si="15"/>
        <v>2.0640723431095895</v>
      </c>
      <c r="L352" s="15"/>
      <c r="M352" s="49"/>
      <c r="N352" s="49">
        <f t="shared" si="14"/>
        <v>0</v>
      </c>
    </row>
    <row r="353" spans="2:14" s="16" customFormat="1" ht="15.75" customHeight="1">
      <c r="B353" s="7">
        <v>2025</v>
      </c>
      <c r="C353" s="7" t="s">
        <v>30</v>
      </c>
      <c r="D353" s="2" t="s">
        <v>15</v>
      </c>
      <c r="E353" s="2" t="s">
        <v>15</v>
      </c>
      <c r="F353" s="7" t="s">
        <v>16</v>
      </c>
      <c r="G353" s="52">
        <v>0.33999999999999997</v>
      </c>
      <c r="H353" s="29">
        <v>253184</v>
      </c>
      <c r="I353" s="55">
        <f t="shared" si="16"/>
        <v>86082.559999999998</v>
      </c>
      <c r="J353" s="29">
        <v>29566.079999999776</v>
      </c>
      <c r="K353" s="54">
        <f t="shared" si="15"/>
        <v>2.9115310517999222</v>
      </c>
      <c r="L353" s="15"/>
      <c r="M353" s="49"/>
      <c r="N353" s="49">
        <f t="shared" ref="N353:N412" si="17">I353*M353</f>
        <v>0</v>
      </c>
    </row>
    <row r="354" spans="2:14" s="16" customFormat="1" ht="15.75" customHeight="1">
      <c r="B354" s="7">
        <v>2025</v>
      </c>
      <c r="C354" s="7" t="s">
        <v>30</v>
      </c>
      <c r="D354" s="2" t="s">
        <v>15</v>
      </c>
      <c r="E354" s="2" t="s">
        <v>15</v>
      </c>
      <c r="F354" s="7" t="s">
        <v>17</v>
      </c>
      <c r="G354" s="52">
        <v>0.19000031061799064</v>
      </c>
      <c r="H354" s="29">
        <v>253184</v>
      </c>
      <c r="I354" s="55">
        <f t="shared" si="16"/>
        <v>48105.038643505344</v>
      </c>
      <c r="J354" s="29">
        <v>23654.280000000148</v>
      </c>
      <c r="K354" s="54">
        <f t="shared" si="15"/>
        <v>2.0336716502681562</v>
      </c>
      <c r="L354" s="15"/>
      <c r="M354" s="49"/>
      <c r="N354" s="49">
        <f t="shared" si="17"/>
        <v>0</v>
      </c>
    </row>
    <row r="355" spans="2:14" s="16" customFormat="1" ht="15.75" customHeight="1">
      <c r="B355" s="7">
        <v>2025</v>
      </c>
      <c r="C355" s="7" t="s">
        <v>30</v>
      </c>
      <c r="D355" s="2" t="s">
        <v>15</v>
      </c>
      <c r="E355" s="2" t="s">
        <v>15</v>
      </c>
      <c r="F355" s="7" t="s">
        <v>18</v>
      </c>
      <c r="G355" s="52">
        <v>0.19999999999999998</v>
      </c>
      <c r="H355" s="29">
        <v>253184</v>
      </c>
      <c r="I355" s="55">
        <f t="shared" si="16"/>
        <v>50636.799999999996</v>
      </c>
      <c r="J355" s="29">
        <v>31865.310000000147</v>
      </c>
      <c r="K355" s="54">
        <f t="shared" si="15"/>
        <v>1.5890885731223001</v>
      </c>
      <c r="L355" s="15"/>
      <c r="M355" s="49"/>
      <c r="N355" s="49">
        <f t="shared" si="17"/>
        <v>0</v>
      </c>
    </row>
    <row r="356" spans="2:14" s="16" customFormat="1" ht="15.75" customHeight="1">
      <c r="B356" s="7">
        <v>2025</v>
      </c>
      <c r="C356" s="7" t="s">
        <v>30</v>
      </c>
      <c r="D356" s="2" t="s">
        <v>15</v>
      </c>
      <c r="E356" s="2" t="s">
        <v>15</v>
      </c>
      <c r="F356" s="7" t="s">
        <v>19</v>
      </c>
      <c r="G356" s="52">
        <v>0.26999999999999996</v>
      </c>
      <c r="H356" s="29">
        <v>253184</v>
      </c>
      <c r="I356" s="55">
        <f t="shared" si="16"/>
        <v>68359.679999999993</v>
      </c>
      <c r="J356" s="29">
        <v>26225.806800000359</v>
      </c>
      <c r="K356" s="54">
        <f t="shared" si="15"/>
        <v>2.606580629580443</v>
      </c>
      <c r="L356" s="15"/>
      <c r="M356" s="49"/>
      <c r="N356" s="49">
        <f t="shared" si="17"/>
        <v>0</v>
      </c>
    </row>
    <row r="357" spans="2:14" s="16" customFormat="1" ht="15.75" customHeight="1">
      <c r="B357" s="7">
        <v>2025</v>
      </c>
      <c r="C357" s="7" t="s">
        <v>30</v>
      </c>
      <c r="D357" s="2" t="s">
        <v>15</v>
      </c>
      <c r="E357" s="2" t="s">
        <v>15</v>
      </c>
      <c r="F357" s="22" t="s">
        <v>20</v>
      </c>
      <c r="G357" s="53">
        <v>1</v>
      </c>
      <c r="H357" s="29">
        <v>253184</v>
      </c>
      <c r="I357" s="55">
        <f t="shared" si="16"/>
        <v>253184</v>
      </c>
      <c r="J357" s="29">
        <f>SUM(J353:J356)</f>
        <v>111311.47680000043</v>
      </c>
      <c r="K357" s="54">
        <f t="shared" si="15"/>
        <v>2.274554316217634</v>
      </c>
      <c r="L357" s="15"/>
      <c r="M357" s="49"/>
      <c r="N357" s="49">
        <f t="shared" si="17"/>
        <v>0</v>
      </c>
    </row>
    <row r="358" spans="2:14" s="16" customFormat="1" ht="15.75" customHeight="1">
      <c r="B358" s="7">
        <v>2025</v>
      </c>
      <c r="C358" s="7" t="s">
        <v>31</v>
      </c>
      <c r="D358" s="2" t="s">
        <v>15</v>
      </c>
      <c r="E358" s="2" t="s">
        <v>15</v>
      </c>
      <c r="F358" s="7" t="s">
        <v>16</v>
      </c>
      <c r="G358" s="52">
        <v>0.33999999999999997</v>
      </c>
      <c r="H358" s="29">
        <v>261601</v>
      </c>
      <c r="I358" s="55">
        <f t="shared" si="16"/>
        <v>88944.34</v>
      </c>
      <c r="J358" s="29">
        <v>30968.273999999859</v>
      </c>
      <c r="K358" s="54">
        <f t="shared" si="15"/>
        <v>2.8721116326986902</v>
      </c>
      <c r="L358" s="15"/>
      <c r="M358" s="49"/>
      <c r="N358" s="49">
        <f t="shared" si="17"/>
        <v>0</v>
      </c>
    </row>
    <row r="359" spans="2:14" s="16" customFormat="1" ht="15.75" customHeight="1">
      <c r="B359" s="7">
        <v>2025</v>
      </c>
      <c r="C359" s="7" t="s">
        <v>31</v>
      </c>
      <c r="D359" s="2" t="s">
        <v>15</v>
      </c>
      <c r="E359" s="2" t="s">
        <v>15</v>
      </c>
      <c r="F359" s="7" t="s">
        <v>17</v>
      </c>
      <c r="G359" s="52">
        <v>0.19000031061799064</v>
      </c>
      <c r="H359" s="29">
        <v>261601</v>
      </c>
      <c r="I359" s="55">
        <f t="shared" si="16"/>
        <v>49704.271257976965</v>
      </c>
      <c r="J359" s="29">
        <v>21536.298000000126</v>
      </c>
      <c r="K359" s="54">
        <f t="shared" si="15"/>
        <v>2.3079301399886218</v>
      </c>
      <c r="L359" s="15"/>
      <c r="M359" s="49"/>
      <c r="N359" s="49">
        <f t="shared" si="17"/>
        <v>0</v>
      </c>
    </row>
    <row r="360" spans="2:14" s="16" customFormat="1" ht="15.75" customHeight="1">
      <c r="B360" s="7">
        <v>2025</v>
      </c>
      <c r="C360" s="7" t="s">
        <v>31</v>
      </c>
      <c r="D360" s="2" t="s">
        <v>15</v>
      </c>
      <c r="E360" s="2" t="s">
        <v>15</v>
      </c>
      <c r="F360" s="7" t="s">
        <v>18</v>
      </c>
      <c r="G360" s="52">
        <v>0.19999999999999998</v>
      </c>
      <c r="H360" s="29">
        <v>261601</v>
      </c>
      <c r="I360" s="55">
        <f t="shared" si="16"/>
        <v>52320.2</v>
      </c>
      <c r="J360" s="29">
        <v>32997.756000000139</v>
      </c>
      <c r="K360" s="54">
        <f t="shared" si="15"/>
        <v>1.5855684247134798</v>
      </c>
      <c r="L360" s="15"/>
      <c r="M360" s="49"/>
      <c r="N360" s="49">
        <f t="shared" si="17"/>
        <v>0</v>
      </c>
    </row>
    <row r="361" spans="2:14" s="16" customFormat="1" ht="15.75" customHeight="1">
      <c r="B361" s="7">
        <v>2025</v>
      </c>
      <c r="C361" s="7" t="s">
        <v>31</v>
      </c>
      <c r="D361" s="2" t="s">
        <v>15</v>
      </c>
      <c r="E361" s="2" t="s">
        <v>15</v>
      </c>
      <c r="F361" s="7" t="s">
        <v>19</v>
      </c>
      <c r="G361" s="52">
        <v>0.26999999999999996</v>
      </c>
      <c r="H361" s="29">
        <v>261601</v>
      </c>
      <c r="I361" s="55">
        <f t="shared" si="16"/>
        <v>70632.26999999999</v>
      </c>
      <c r="J361" s="29">
        <v>29307.589200000319</v>
      </c>
      <c r="K361" s="54">
        <f t="shared" si="15"/>
        <v>2.4100334393932075</v>
      </c>
      <c r="L361" s="15"/>
      <c r="M361" s="49"/>
      <c r="N361" s="49">
        <f t="shared" si="17"/>
        <v>0</v>
      </c>
    </row>
    <row r="362" spans="2:14" s="16" customFormat="1" ht="15.75" customHeight="1">
      <c r="B362" s="7">
        <v>2025</v>
      </c>
      <c r="C362" s="7" t="s">
        <v>31</v>
      </c>
      <c r="D362" s="2" t="s">
        <v>15</v>
      </c>
      <c r="E362" s="2" t="s">
        <v>15</v>
      </c>
      <c r="F362" s="22" t="s">
        <v>20</v>
      </c>
      <c r="G362" s="53">
        <v>1</v>
      </c>
      <c r="H362" s="29">
        <v>261601</v>
      </c>
      <c r="I362" s="55">
        <f t="shared" si="16"/>
        <v>261601</v>
      </c>
      <c r="J362" s="29">
        <f>SUM(J358:J361)</f>
        <v>114809.91720000045</v>
      </c>
      <c r="K362" s="54">
        <f t="shared" si="15"/>
        <v>2.2785575182001696</v>
      </c>
      <c r="L362" s="15"/>
      <c r="M362" s="49"/>
      <c r="N362" s="49">
        <f t="shared" si="17"/>
        <v>0</v>
      </c>
    </row>
    <row r="363" spans="2:14" s="16" customFormat="1" ht="15.75" customHeight="1">
      <c r="B363" s="7">
        <v>2025</v>
      </c>
      <c r="C363" s="7" t="s">
        <v>14</v>
      </c>
      <c r="D363" s="2" t="s">
        <v>15</v>
      </c>
      <c r="E363" s="2" t="s">
        <v>15</v>
      </c>
      <c r="F363" s="7" t="s">
        <v>16</v>
      </c>
      <c r="G363" s="52">
        <v>0.33999999999999997</v>
      </c>
      <c r="H363" s="29">
        <v>267417</v>
      </c>
      <c r="I363" s="55">
        <f t="shared" si="16"/>
        <v>90921.78</v>
      </c>
      <c r="J363" s="30">
        <v>29694.58199999994</v>
      </c>
      <c r="K363" s="54">
        <f t="shared" si="15"/>
        <v>3.0618979583548334</v>
      </c>
      <c r="L363" s="15">
        <v>2.2414435745588968</v>
      </c>
      <c r="M363" s="49">
        <v>543.68362236110738</v>
      </c>
      <c r="N363" s="49">
        <f>I363*M363</f>
        <v>49432682.701919682</v>
      </c>
    </row>
    <row r="364" spans="2:14" s="16" customFormat="1" ht="15.75" customHeight="1">
      <c r="B364" s="7">
        <v>2025</v>
      </c>
      <c r="C364" s="7" t="s">
        <v>14</v>
      </c>
      <c r="D364" s="2" t="s">
        <v>15</v>
      </c>
      <c r="E364" s="2" t="s">
        <v>15</v>
      </c>
      <c r="F364" s="7" t="s">
        <v>17</v>
      </c>
      <c r="G364" s="52">
        <v>0.19000031061799064</v>
      </c>
      <c r="H364" s="29">
        <v>267417</v>
      </c>
      <c r="I364" s="55">
        <f t="shared" si="16"/>
        <v>50809.313064531205</v>
      </c>
      <c r="J364" s="29">
        <v>25308.168000000136</v>
      </c>
      <c r="K364" s="54">
        <f t="shared" si="15"/>
        <v>2.0076250902290096</v>
      </c>
      <c r="L364" s="15">
        <v>2.1027122210923936</v>
      </c>
      <c r="M364" s="49">
        <v>543.68362236110738</v>
      </c>
      <c r="N364" s="49">
        <f t="shared" si="17"/>
        <v>27624191.376603864</v>
      </c>
    </row>
    <row r="365" spans="2:14" s="16" customFormat="1" ht="15.75" customHeight="1">
      <c r="B365" s="7">
        <v>2025</v>
      </c>
      <c r="C365" s="7" t="s">
        <v>14</v>
      </c>
      <c r="D365" s="2" t="s">
        <v>15</v>
      </c>
      <c r="E365" s="2" t="s">
        <v>15</v>
      </c>
      <c r="F365" s="7" t="s">
        <v>18</v>
      </c>
      <c r="G365" s="52">
        <v>0.19999999999999998</v>
      </c>
      <c r="H365" s="29">
        <v>267417</v>
      </c>
      <c r="I365" s="55">
        <f t="shared" si="16"/>
        <v>53483.399999999994</v>
      </c>
      <c r="J365" s="29">
        <v>31292.184000000136</v>
      </c>
      <c r="K365" s="54">
        <f t="shared" si="15"/>
        <v>1.7091616232347273</v>
      </c>
      <c r="L365" s="15">
        <v>1.4995756130681794</v>
      </c>
      <c r="M365" s="49">
        <v>543.68362236110738</v>
      </c>
      <c r="N365" s="49">
        <f t="shared" si="17"/>
        <v>29078048.648188047</v>
      </c>
    </row>
    <row r="366" spans="2:14" s="16" customFormat="1" ht="15.75" customHeight="1">
      <c r="B366" s="7">
        <v>2025</v>
      </c>
      <c r="C366" s="7" t="s">
        <v>14</v>
      </c>
      <c r="D366" s="2" t="s">
        <v>15</v>
      </c>
      <c r="E366" s="2" t="s">
        <v>15</v>
      </c>
      <c r="F366" s="7" t="s">
        <v>19</v>
      </c>
      <c r="G366" s="52">
        <v>0.26999999999999996</v>
      </c>
      <c r="H366" s="29">
        <v>267417</v>
      </c>
      <c r="I366" s="55">
        <f t="shared" si="16"/>
        <v>72202.59</v>
      </c>
      <c r="J366" s="29">
        <v>27265.097700000133</v>
      </c>
      <c r="K366" s="54">
        <f t="shared" si="15"/>
        <v>2.6481691279617032</v>
      </c>
      <c r="L366" s="15">
        <v>2.2035926105884505</v>
      </c>
      <c r="M366" s="49">
        <v>543.68362236110738</v>
      </c>
      <c r="N366" s="49">
        <f t="shared" si="17"/>
        <v>39255365.675053865</v>
      </c>
    </row>
    <row r="367" spans="2:14" s="16" customFormat="1" ht="15.75" customHeight="1">
      <c r="B367" s="7">
        <v>2025</v>
      </c>
      <c r="C367" s="7" t="s">
        <v>14</v>
      </c>
      <c r="D367" s="2" t="s">
        <v>15</v>
      </c>
      <c r="E367" s="2" t="s">
        <v>15</v>
      </c>
      <c r="F367" s="22" t="s">
        <v>20</v>
      </c>
      <c r="G367" s="53">
        <v>1</v>
      </c>
      <c r="H367" s="29">
        <v>267417</v>
      </c>
      <c r="I367" s="55">
        <f t="shared" si="16"/>
        <v>267417</v>
      </c>
      <c r="J367" s="29">
        <f>SUM(J363:J366)</f>
        <v>113560.03170000034</v>
      </c>
      <c r="K367" s="54">
        <f t="shared" si="15"/>
        <v>2.3548514032336185</v>
      </c>
      <c r="L367" s="15">
        <v>2.0118310048269801</v>
      </c>
      <c r="M367" s="49">
        <v>543.68362236110738</v>
      </c>
      <c r="N367" s="49">
        <f>I367*M367</f>
        <v>145390243.24094024</v>
      </c>
    </row>
    <row r="368" spans="2:14" s="16" customFormat="1" ht="15.75" customHeight="1">
      <c r="B368" s="7">
        <v>2025</v>
      </c>
      <c r="C368" s="7" t="s">
        <v>21</v>
      </c>
      <c r="D368" s="2" t="s">
        <v>15</v>
      </c>
      <c r="E368" s="2" t="s">
        <v>15</v>
      </c>
      <c r="F368" s="7" t="s">
        <v>16</v>
      </c>
      <c r="G368" s="52">
        <v>0.33999999999999997</v>
      </c>
      <c r="H368" s="29">
        <v>248572</v>
      </c>
      <c r="I368" s="55">
        <f t="shared" si="16"/>
        <v>84514.48</v>
      </c>
      <c r="J368" s="29">
        <v>28804.97999999985</v>
      </c>
      <c r="K368" s="54">
        <f t="shared" si="15"/>
        <v>2.9340232140414759</v>
      </c>
      <c r="L368" s="15">
        <v>2.2414435745588968</v>
      </c>
      <c r="M368" s="49">
        <v>535.09081792340214</v>
      </c>
      <c r="N368" s="49">
        <f t="shared" si="17"/>
        <v>45222922.229571007</v>
      </c>
    </row>
    <row r="369" spans="2:14" s="16" customFormat="1" ht="15.75" customHeight="1">
      <c r="B369" s="7">
        <v>2025</v>
      </c>
      <c r="C369" s="7" t="s">
        <v>21</v>
      </c>
      <c r="D369" s="2" t="s">
        <v>15</v>
      </c>
      <c r="E369" s="2" t="s">
        <v>15</v>
      </c>
      <c r="F369" s="7" t="s">
        <v>17</v>
      </c>
      <c r="G369" s="52">
        <v>0.19000031061799064</v>
      </c>
      <c r="H369" s="29">
        <v>248572</v>
      </c>
      <c r="I369" s="55">
        <f t="shared" si="16"/>
        <v>47228.757210935168</v>
      </c>
      <c r="J369" s="29">
        <v>20490.228000000032</v>
      </c>
      <c r="K369" s="54">
        <f t="shared" si="15"/>
        <v>2.304940540970803</v>
      </c>
      <c r="L369" s="15">
        <v>2.1027122210923936</v>
      </c>
      <c r="M369" s="49">
        <v>535.09081792340214</v>
      </c>
      <c r="N369" s="49">
        <f t="shared" si="17"/>
        <v>25271674.325505074</v>
      </c>
    </row>
    <row r="370" spans="2:14" s="16" customFormat="1" ht="15.75" customHeight="1">
      <c r="B370" s="7">
        <v>2025</v>
      </c>
      <c r="C370" s="7" t="s">
        <v>21</v>
      </c>
      <c r="D370" s="2" t="s">
        <v>15</v>
      </c>
      <c r="E370" s="2" t="s">
        <v>15</v>
      </c>
      <c r="F370" s="7" t="s">
        <v>18</v>
      </c>
      <c r="G370" s="52">
        <v>0.19999999999999998</v>
      </c>
      <c r="H370" s="29">
        <v>248572</v>
      </c>
      <c r="I370" s="55">
        <f t="shared" si="16"/>
        <v>49714.399999999994</v>
      </c>
      <c r="J370" s="29">
        <v>0</v>
      </c>
      <c r="K370" s="54">
        <f t="shared" si="15"/>
        <v>0</v>
      </c>
      <c r="L370" s="15">
        <v>1.4995756130681794</v>
      </c>
      <c r="M370" s="49">
        <v>535.09081792340214</v>
      </c>
      <c r="N370" s="49">
        <f t="shared" si="17"/>
        <v>26601718.958571181</v>
      </c>
    </row>
    <row r="371" spans="2:14" s="16" customFormat="1" ht="15.75" customHeight="1">
      <c r="B371" s="7">
        <v>2025</v>
      </c>
      <c r="C371" s="7" t="s">
        <v>21</v>
      </c>
      <c r="D371" s="2" t="s">
        <v>15</v>
      </c>
      <c r="E371" s="2" t="s">
        <v>15</v>
      </c>
      <c r="F371" s="7" t="s">
        <v>19</v>
      </c>
      <c r="G371" s="52">
        <v>0.26999999999999996</v>
      </c>
      <c r="H371" s="29">
        <v>248572</v>
      </c>
      <c r="I371" s="55">
        <f t="shared" si="16"/>
        <v>67114.439999999988</v>
      </c>
      <c r="J371" s="29">
        <v>24712.793099999988</v>
      </c>
      <c r="K371" s="54">
        <f t="shared" si="15"/>
        <v>2.715777198005191</v>
      </c>
      <c r="L371" s="15">
        <v>2.2035926105884505</v>
      </c>
      <c r="M371" s="49">
        <v>535.09081792340214</v>
      </c>
      <c r="N371" s="49">
        <f t="shared" si="17"/>
        <v>35912320.59407109</v>
      </c>
    </row>
    <row r="372" spans="2:14" s="16" customFormat="1" ht="15.75" customHeight="1">
      <c r="B372" s="7">
        <v>2025</v>
      </c>
      <c r="C372" s="7" t="s">
        <v>21</v>
      </c>
      <c r="D372" s="2" t="s">
        <v>15</v>
      </c>
      <c r="E372" s="2" t="s">
        <v>15</v>
      </c>
      <c r="F372" s="22" t="s">
        <v>20</v>
      </c>
      <c r="G372" s="53">
        <v>1</v>
      </c>
      <c r="H372" s="29">
        <v>248572</v>
      </c>
      <c r="I372" s="55">
        <f t="shared" si="16"/>
        <v>248572</v>
      </c>
      <c r="J372" s="29">
        <f>SUM(J368:J371)</f>
        <v>74008.001099999878</v>
      </c>
      <c r="K372" s="54">
        <f t="shared" si="15"/>
        <v>3.3587179265134943</v>
      </c>
      <c r="L372" s="15">
        <v>2.0118310048269801</v>
      </c>
      <c r="M372" s="49">
        <v>535.09081792340214</v>
      </c>
      <c r="N372" s="49">
        <f t="shared" si="17"/>
        <v>133008594.79285592</v>
      </c>
    </row>
    <row r="373" spans="2:14" s="16" customFormat="1" ht="15.75" customHeight="1">
      <c r="B373" s="7">
        <v>2025</v>
      </c>
      <c r="C373" s="7" t="s">
        <v>22</v>
      </c>
      <c r="D373" s="2" t="s">
        <v>15</v>
      </c>
      <c r="E373" s="2" t="s">
        <v>15</v>
      </c>
      <c r="F373" s="7" t="s">
        <v>16</v>
      </c>
      <c r="G373" s="52">
        <v>0.33999999999999997</v>
      </c>
      <c r="H373" s="29">
        <v>176309</v>
      </c>
      <c r="I373" s="55">
        <f t="shared" si="16"/>
        <v>59945.06</v>
      </c>
      <c r="J373" s="29">
        <v>23937.125999999887</v>
      </c>
      <c r="K373" s="54">
        <f t="shared" si="15"/>
        <v>2.5042713983291178</v>
      </c>
      <c r="L373" s="15">
        <v>2.2414435745588968</v>
      </c>
      <c r="M373" s="49">
        <v>532.25135059052343</v>
      </c>
      <c r="N373" s="49">
        <f t="shared" si="17"/>
        <v>31905839.14622996</v>
      </c>
    </row>
    <row r="374" spans="2:14" s="16" customFormat="1" ht="15.75" customHeight="1">
      <c r="B374" s="7">
        <v>2025</v>
      </c>
      <c r="C374" s="7" t="s">
        <v>22</v>
      </c>
      <c r="D374" s="2" t="s">
        <v>15</v>
      </c>
      <c r="E374" s="2" t="s">
        <v>15</v>
      </c>
      <c r="F374" s="7" t="s">
        <v>17</v>
      </c>
      <c r="G374" s="52">
        <v>0.19000031061799064</v>
      </c>
      <c r="H374" s="29">
        <v>176309</v>
      </c>
      <c r="I374" s="55">
        <f t="shared" si="16"/>
        <v>33498.764764747313</v>
      </c>
      <c r="J374" s="29">
        <v>17672.388000000024</v>
      </c>
      <c r="K374" s="54">
        <f t="shared" si="15"/>
        <v>1.8955426264264494</v>
      </c>
      <c r="L374" s="15">
        <v>2.1027122210923936</v>
      </c>
      <c r="M374" s="49">
        <v>532.25135059052343</v>
      </c>
      <c r="N374" s="49">
        <f t="shared" si="17"/>
        <v>17829762.789150994</v>
      </c>
    </row>
    <row r="375" spans="2:14" s="16" customFormat="1" ht="15.75" customHeight="1">
      <c r="B375" s="7">
        <v>2025</v>
      </c>
      <c r="C375" s="7" t="s">
        <v>22</v>
      </c>
      <c r="D375" s="2" t="s">
        <v>15</v>
      </c>
      <c r="E375" s="2" t="s">
        <v>15</v>
      </c>
      <c r="F375" s="7" t="s">
        <v>18</v>
      </c>
      <c r="G375" s="52">
        <v>0.19999999999999998</v>
      </c>
      <c r="H375" s="29">
        <v>176309</v>
      </c>
      <c r="I375" s="55">
        <f t="shared" si="16"/>
        <v>35261.799999999996</v>
      </c>
      <c r="J375" s="29">
        <v>0</v>
      </c>
      <c r="K375" s="54">
        <f t="shared" si="15"/>
        <v>0</v>
      </c>
      <c r="L375" s="15">
        <v>1.4995756130681794</v>
      </c>
      <c r="M375" s="49">
        <v>532.25135059052343</v>
      </c>
      <c r="N375" s="49">
        <f t="shared" si="17"/>
        <v>18768140.674252916</v>
      </c>
    </row>
    <row r="376" spans="2:14" s="16" customFormat="1" ht="15.75" customHeight="1">
      <c r="B376" s="7">
        <v>2025</v>
      </c>
      <c r="C376" s="7" t="s">
        <v>22</v>
      </c>
      <c r="D376" s="2" t="s">
        <v>15</v>
      </c>
      <c r="E376" s="2" t="s">
        <v>15</v>
      </c>
      <c r="F376" s="7" t="s">
        <v>19</v>
      </c>
      <c r="G376" s="52">
        <v>0.26999999999999996</v>
      </c>
      <c r="H376" s="29">
        <v>176309</v>
      </c>
      <c r="I376" s="55">
        <f t="shared" si="16"/>
        <v>47603.429999999993</v>
      </c>
      <c r="J376" s="29">
        <v>19925.031599999853</v>
      </c>
      <c r="K376" s="54">
        <f t="shared" si="15"/>
        <v>2.3891269512466091</v>
      </c>
      <c r="L376" s="15">
        <v>2.2035926105884505</v>
      </c>
      <c r="M376" s="49">
        <v>532.25135059052343</v>
      </c>
      <c r="N376" s="49">
        <f t="shared" si="17"/>
        <v>25336989.910241436</v>
      </c>
    </row>
    <row r="377" spans="2:14" s="16" customFormat="1" ht="15.75" customHeight="1">
      <c r="B377" s="7">
        <v>2025</v>
      </c>
      <c r="C377" s="7" t="s">
        <v>22</v>
      </c>
      <c r="D377" s="2" t="s">
        <v>15</v>
      </c>
      <c r="E377" s="2" t="s">
        <v>15</v>
      </c>
      <c r="F377" s="22" t="s">
        <v>20</v>
      </c>
      <c r="G377" s="53">
        <v>1</v>
      </c>
      <c r="H377" s="29">
        <v>176309</v>
      </c>
      <c r="I377" s="55">
        <f t="shared" si="16"/>
        <v>176309</v>
      </c>
      <c r="J377" s="29">
        <f>SUM(J373:J376)</f>
        <v>61534.545599999765</v>
      </c>
      <c r="K377" s="54">
        <f t="shared" si="15"/>
        <v>2.8652035743642621</v>
      </c>
      <c r="L377" s="15">
        <v>2.0118310048269801</v>
      </c>
      <c r="M377" s="49">
        <v>532.25135059052343</v>
      </c>
      <c r="N377" s="49">
        <f t="shared" si="17"/>
        <v>93840703.371264592</v>
      </c>
    </row>
    <row r="378" spans="2:14" s="16" customFormat="1" ht="15.75" customHeight="1">
      <c r="B378" s="7">
        <v>2026</v>
      </c>
      <c r="C378" s="7" t="s">
        <v>23</v>
      </c>
      <c r="D378" s="2" t="s">
        <v>15</v>
      </c>
      <c r="E378" s="2" t="s">
        <v>15</v>
      </c>
      <c r="F378" s="7" t="s">
        <v>16</v>
      </c>
      <c r="G378" s="52">
        <v>0.33999999999999997</v>
      </c>
      <c r="H378" s="29">
        <v>237057</v>
      </c>
      <c r="I378" s="55">
        <f t="shared" si="16"/>
        <v>80599.37999999999</v>
      </c>
      <c r="J378" s="29">
        <v>30299.213999999862</v>
      </c>
      <c r="K378" s="54">
        <f t="shared" si="15"/>
        <v>2.6601145495061473</v>
      </c>
      <c r="L378" s="15">
        <v>2.2414435745588968</v>
      </c>
      <c r="M378" s="49">
        <v>523.27968653018252</v>
      </c>
      <c r="N378" s="49">
        <f t="shared" si="17"/>
        <v>42176018.300927058</v>
      </c>
    </row>
    <row r="379" spans="2:14" s="16" customFormat="1" ht="15.75" customHeight="1">
      <c r="B379" s="7">
        <v>2026</v>
      </c>
      <c r="C379" s="7" t="s">
        <v>23</v>
      </c>
      <c r="D379" s="2" t="s">
        <v>15</v>
      </c>
      <c r="E379" s="2" t="s">
        <v>15</v>
      </c>
      <c r="F379" s="7" t="s">
        <v>17</v>
      </c>
      <c r="G379" s="52">
        <v>0.19000031061799064</v>
      </c>
      <c r="H379" s="29">
        <v>237057</v>
      </c>
      <c r="I379" s="55">
        <f t="shared" si="16"/>
        <v>45040.903634169008</v>
      </c>
      <c r="J379" s="29">
        <v>24074.478000000112</v>
      </c>
      <c r="K379" s="54">
        <f t="shared" si="15"/>
        <v>1.8708984524677461</v>
      </c>
      <c r="L379" s="15">
        <v>2.1027122210923936</v>
      </c>
      <c r="M379" s="49">
        <v>523.27968653018252</v>
      </c>
      <c r="N379" s="49">
        <f t="shared" si="17"/>
        <v>23568989.934724119</v>
      </c>
    </row>
    <row r="380" spans="2:14" s="16" customFormat="1" ht="15.75" customHeight="1">
      <c r="B380" s="7">
        <v>2026</v>
      </c>
      <c r="C380" s="7" t="s">
        <v>23</v>
      </c>
      <c r="D380" s="2" t="s">
        <v>15</v>
      </c>
      <c r="E380" s="2" t="s">
        <v>15</v>
      </c>
      <c r="F380" s="7" t="s">
        <v>18</v>
      </c>
      <c r="G380" s="52">
        <v>0.19999999999999998</v>
      </c>
      <c r="H380" s="29">
        <v>237057</v>
      </c>
      <c r="I380" s="55">
        <f t="shared" si="16"/>
        <v>47411.399999999994</v>
      </c>
      <c r="J380" s="29">
        <v>0</v>
      </c>
      <c r="K380" s="54">
        <f t="shared" si="15"/>
        <v>0</v>
      </c>
      <c r="L380" s="15">
        <v>1.4995756130681794</v>
      </c>
      <c r="M380" s="49">
        <v>523.27968653018252</v>
      </c>
      <c r="N380" s="49">
        <f t="shared" si="17"/>
        <v>24809422.529957093</v>
      </c>
    </row>
    <row r="381" spans="2:14" s="16" customFormat="1" ht="15.75" customHeight="1">
      <c r="B381" s="7">
        <v>2026</v>
      </c>
      <c r="C381" s="7" t="s">
        <v>23</v>
      </c>
      <c r="D381" s="2" t="s">
        <v>15</v>
      </c>
      <c r="E381" s="2" t="s">
        <v>15</v>
      </c>
      <c r="F381" s="7" t="s">
        <v>19</v>
      </c>
      <c r="G381" s="52">
        <v>0.26999999999999996</v>
      </c>
      <c r="H381" s="29">
        <v>237057</v>
      </c>
      <c r="I381" s="55">
        <f t="shared" si="16"/>
        <v>64005.389999999992</v>
      </c>
      <c r="J381" s="29">
        <v>26309.014500000263</v>
      </c>
      <c r="K381" s="54">
        <f t="shared" si="15"/>
        <v>2.4328311499466979</v>
      </c>
      <c r="L381" s="15">
        <v>2.2035926105884505</v>
      </c>
      <c r="M381" s="49">
        <v>523.27968653018252</v>
      </c>
      <c r="N381" s="49">
        <f t="shared" si="17"/>
        <v>33492720.415442076</v>
      </c>
    </row>
    <row r="382" spans="2:14" s="16" customFormat="1" ht="15.75" customHeight="1">
      <c r="B382" s="7">
        <v>2026</v>
      </c>
      <c r="C382" s="7" t="s">
        <v>23</v>
      </c>
      <c r="D382" s="2" t="s">
        <v>15</v>
      </c>
      <c r="E382" s="2" t="s">
        <v>15</v>
      </c>
      <c r="F382" s="22" t="s">
        <v>20</v>
      </c>
      <c r="G382" s="53">
        <v>1</v>
      </c>
      <c r="H382" s="29">
        <v>237057</v>
      </c>
      <c r="I382" s="55">
        <f t="shared" si="16"/>
        <v>237057</v>
      </c>
      <c r="J382" s="29">
        <f>SUM(J378:J381)</f>
        <v>80682.706500000233</v>
      </c>
      <c r="K382" s="54">
        <f t="shared" si="15"/>
        <v>2.9381389182823128</v>
      </c>
      <c r="L382" s="15">
        <v>2.0118310048269801</v>
      </c>
      <c r="M382" s="49">
        <v>523.27968653018252</v>
      </c>
      <c r="N382" s="49">
        <f t="shared" si="17"/>
        <v>124047112.64978547</v>
      </c>
    </row>
    <row r="383" spans="2:14" s="16" customFormat="1" ht="15.75" customHeight="1">
      <c r="B383" s="7">
        <v>2026</v>
      </c>
      <c r="C383" s="7" t="s">
        <v>24</v>
      </c>
      <c r="D383" s="2" t="s">
        <v>15</v>
      </c>
      <c r="E383" s="2" t="s">
        <v>15</v>
      </c>
      <c r="F383" s="7" t="s">
        <v>16</v>
      </c>
      <c r="G383" s="52">
        <v>0.33999999999999997</v>
      </c>
      <c r="H383" s="29">
        <v>219512</v>
      </c>
      <c r="I383" s="55">
        <f t="shared" si="16"/>
        <v>74634.079999999987</v>
      </c>
      <c r="J383" s="29">
        <v>30968.98199999984</v>
      </c>
      <c r="K383" s="54">
        <f t="shared" si="15"/>
        <v>2.4099623294043173</v>
      </c>
      <c r="L383" s="15">
        <v>2.2414435745588968</v>
      </c>
      <c r="M383" s="49">
        <v>568.46356218769256</v>
      </c>
      <c r="N383" s="49">
        <f t="shared" si="17"/>
        <v>42426754.977401212</v>
      </c>
    </row>
    <row r="384" spans="2:14" s="16" customFormat="1" ht="15.75" customHeight="1">
      <c r="B384" s="7">
        <v>2026</v>
      </c>
      <c r="C384" s="7" t="s">
        <v>24</v>
      </c>
      <c r="D384" s="2" t="s">
        <v>15</v>
      </c>
      <c r="E384" s="2" t="s">
        <v>15</v>
      </c>
      <c r="F384" s="7" t="s">
        <v>17</v>
      </c>
      <c r="G384" s="52">
        <v>0.19000031061799064</v>
      </c>
      <c r="H384" s="29">
        <v>219512</v>
      </c>
      <c r="I384" s="55">
        <f t="shared" si="16"/>
        <v>41707.348184376358</v>
      </c>
      <c r="J384" s="29">
        <v>19601.6880000001</v>
      </c>
      <c r="K384" s="54">
        <f t="shared" si="15"/>
        <v>2.1277426813637756</v>
      </c>
      <c r="L384" s="15">
        <v>2.1027122210923936</v>
      </c>
      <c r="M384" s="49">
        <v>568.46356218769256</v>
      </c>
      <c r="N384" s="49">
        <f t="shared" si="17"/>
        <v>23709107.718292978</v>
      </c>
    </row>
    <row r="385" spans="2:14" s="16" customFormat="1" ht="15.75" customHeight="1">
      <c r="B385" s="7">
        <v>2026</v>
      </c>
      <c r="C385" s="7" t="s">
        <v>24</v>
      </c>
      <c r="D385" s="2" t="s">
        <v>15</v>
      </c>
      <c r="E385" s="2" t="s">
        <v>15</v>
      </c>
      <c r="F385" s="7" t="s">
        <v>18</v>
      </c>
      <c r="G385" s="52">
        <v>0.19999999999999998</v>
      </c>
      <c r="H385" s="29">
        <v>219512</v>
      </c>
      <c r="I385" s="55">
        <f t="shared" si="16"/>
        <v>43902.399999999994</v>
      </c>
      <c r="J385" s="29">
        <v>0</v>
      </c>
      <c r="K385" s="54">
        <f t="shared" si="15"/>
        <v>0</v>
      </c>
      <c r="L385" s="15">
        <v>1.4995756130681794</v>
      </c>
      <c r="M385" s="49">
        <v>568.46356218769256</v>
      </c>
      <c r="N385" s="49">
        <f t="shared" si="17"/>
        <v>24956914.692588951</v>
      </c>
    </row>
    <row r="386" spans="2:14" s="16" customFormat="1" ht="15.75" customHeight="1">
      <c r="B386" s="7">
        <v>2026</v>
      </c>
      <c r="C386" s="7" t="s">
        <v>24</v>
      </c>
      <c r="D386" s="2" t="s">
        <v>15</v>
      </c>
      <c r="E386" s="2" t="s">
        <v>15</v>
      </c>
      <c r="F386" s="7" t="s">
        <v>19</v>
      </c>
      <c r="G386" s="52">
        <v>0.26999999999999996</v>
      </c>
      <c r="H386" s="29">
        <v>219512</v>
      </c>
      <c r="I386" s="55">
        <f t="shared" si="16"/>
        <v>59268.239999999991</v>
      </c>
      <c r="J386" s="29">
        <v>27478.984500000286</v>
      </c>
      <c r="K386" s="54">
        <f t="shared" si="15"/>
        <v>2.1568569973901099</v>
      </c>
      <c r="L386" s="15">
        <v>2.2035926105884505</v>
      </c>
      <c r="M386" s="49">
        <v>568.46356218769256</v>
      </c>
      <c r="N386" s="49">
        <f t="shared" si="17"/>
        <v>33691834.834995084</v>
      </c>
    </row>
    <row r="387" spans="2:14" s="16" customFormat="1" ht="15.75" customHeight="1">
      <c r="B387" s="7">
        <v>2026</v>
      </c>
      <c r="C387" s="7" t="s">
        <v>24</v>
      </c>
      <c r="D387" s="2" t="s">
        <v>15</v>
      </c>
      <c r="E387" s="2" t="s">
        <v>15</v>
      </c>
      <c r="F387" s="22" t="s">
        <v>20</v>
      </c>
      <c r="G387" s="53">
        <v>1</v>
      </c>
      <c r="H387" s="29">
        <v>219512</v>
      </c>
      <c r="I387" s="55">
        <f t="shared" si="16"/>
        <v>219512</v>
      </c>
      <c r="J387" s="29">
        <f>SUM(J383:J386)</f>
        <v>78049.654500000222</v>
      </c>
      <c r="K387" s="54">
        <f t="shared" si="15"/>
        <v>2.8124660052146595</v>
      </c>
      <c r="L387" s="15">
        <v>2.0118310048269801</v>
      </c>
      <c r="M387" s="49">
        <v>568.46356218769256</v>
      </c>
      <c r="N387" s="49">
        <f t="shared" si="17"/>
        <v>124784573.46294478</v>
      </c>
    </row>
    <row r="388" spans="2:14" s="16" customFormat="1" ht="15.75" customHeight="1">
      <c r="B388" s="7">
        <v>2026</v>
      </c>
      <c r="C388" s="7" t="s">
        <v>25</v>
      </c>
      <c r="D388" s="2" t="s">
        <v>15</v>
      </c>
      <c r="E388" s="2" t="s">
        <v>15</v>
      </c>
      <c r="F388" s="7" t="s">
        <v>16</v>
      </c>
      <c r="G388" s="52">
        <v>0.33999999999999997</v>
      </c>
      <c r="H388" s="29">
        <v>197348</v>
      </c>
      <c r="I388" s="55">
        <f t="shared" si="16"/>
        <v>67098.319999999992</v>
      </c>
      <c r="J388" s="29">
        <v>11531.195999999945</v>
      </c>
      <c r="K388" s="54">
        <f t="shared" ref="K388:K412" si="18">IFERROR(I388/J388,0)</f>
        <v>5.818851747901979</v>
      </c>
      <c r="L388" s="15">
        <v>2.2414435745588968</v>
      </c>
      <c r="M388" s="49">
        <v>551.68080501090822</v>
      </c>
      <c r="N388" s="49">
        <f t="shared" si="17"/>
        <v>37016855.192479521</v>
      </c>
    </row>
    <row r="389" spans="2:14" s="16" customFormat="1" ht="15.75" customHeight="1">
      <c r="B389" s="7">
        <v>2026</v>
      </c>
      <c r="C389" s="7" t="s">
        <v>25</v>
      </c>
      <c r="D389" s="2" t="s">
        <v>15</v>
      </c>
      <c r="E389" s="2" t="s">
        <v>15</v>
      </c>
      <c r="F389" s="7" t="s">
        <v>17</v>
      </c>
      <c r="G389" s="52">
        <v>0.19000031061799064</v>
      </c>
      <c r="H389" s="29">
        <v>197348</v>
      </c>
      <c r="I389" s="55">
        <f t="shared" si="16"/>
        <v>37496.18129983922</v>
      </c>
      <c r="J389" s="29">
        <v>11016.833999999983</v>
      </c>
      <c r="K389" s="54">
        <f t="shared" si="18"/>
        <v>3.4035351081662188</v>
      </c>
      <c r="L389" s="15">
        <v>2.1027122210923936</v>
      </c>
      <c r="M389" s="49">
        <v>551.68080501090822</v>
      </c>
      <c r="N389" s="49">
        <f t="shared" si="17"/>
        <v>20685923.484330263</v>
      </c>
    </row>
    <row r="390" spans="2:14" s="16" customFormat="1" ht="15.75" customHeight="1">
      <c r="B390" s="7">
        <v>2026</v>
      </c>
      <c r="C390" s="7" t="s">
        <v>25</v>
      </c>
      <c r="D390" s="2" t="s">
        <v>15</v>
      </c>
      <c r="E390" s="2" t="s">
        <v>15</v>
      </c>
      <c r="F390" s="7" t="s">
        <v>18</v>
      </c>
      <c r="G390" s="52">
        <v>0.19999999999999998</v>
      </c>
      <c r="H390" s="29">
        <v>197348</v>
      </c>
      <c r="I390" s="55">
        <f t="shared" si="16"/>
        <v>39469.599999999999</v>
      </c>
      <c r="J390" s="29">
        <v>0</v>
      </c>
      <c r="K390" s="54">
        <f t="shared" si="18"/>
        <v>0</v>
      </c>
      <c r="L390" s="15">
        <v>1.4995756130681794</v>
      </c>
      <c r="M390" s="49">
        <v>551.68080501090822</v>
      </c>
      <c r="N390" s="49">
        <f t="shared" si="17"/>
        <v>21774620.701458544</v>
      </c>
    </row>
    <row r="391" spans="2:14" s="16" customFormat="1" ht="15.75" customHeight="1">
      <c r="B391" s="7">
        <v>2026</v>
      </c>
      <c r="C391" s="7" t="s">
        <v>25</v>
      </c>
      <c r="D391" s="2" t="s">
        <v>15</v>
      </c>
      <c r="E391" s="2" t="s">
        <v>15</v>
      </c>
      <c r="F391" s="7" t="s">
        <v>19</v>
      </c>
      <c r="G391" s="52">
        <v>0.26999999999999996</v>
      </c>
      <c r="H391" s="29">
        <v>197348</v>
      </c>
      <c r="I391" s="55">
        <f t="shared" si="16"/>
        <v>53283.959999999992</v>
      </c>
      <c r="J391" s="29">
        <v>14171.68200000003</v>
      </c>
      <c r="K391" s="54">
        <f t="shared" si="18"/>
        <v>3.7598896164901161</v>
      </c>
      <c r="L391" s="15">
        <v>2.2035926105884505</v>
      </c>
      <c r="M391" s="49">
        <v>551.68080501090822</v>
      </c>
      <c r="N391" s="49">
        <f t="shared" si="17"/>
        <v>29395737.946969029</v>
      </c>
    </row>
    <row r="392" spans="2:14" s="16" customFormat="1" ht="15.75" customHeight="1">
      <c r="B392" s="7">
        <v>2026</v>
      </c>
      <c r="C392" s="7" t="s">
        <v>25</v>
      </c>
      <c r="D392" s="2" t="s">
        <v>15</v>
      </c>
      <c r="E392" s="2" t="s">
        <v>15</v>
      </c>
      <c r="F392" s="22" t="s">
        <v>20</v>
      </c>
      <c r="G392" s="53">
        <v>1</v>
      </c>
      <c r="H392" s="29">
        <v>197348</v>
      </c>
      <c r="I392" s="55">
        <f t="shared" ref="I392:I412" si="19">G392*H392</f>
        <v>197348</v>
      </c>
      <c r="J392" s="29">
        <f>SUM(J388:J391)</f>
        <v>36719.711999999956</v>
      </c>
      <c r="K392" s="54">
        <f t="shared" si="18"/>
        <v>5.3744430239540071</v>
      </c>
      <c r="L392" s="15">
        <v>2.0118310048269801</v>
      </c>
      <c r="M392" s="49">
        <v>551.68080501090822</v>
      </c>
      <c r="N392" s="49">
        <f t="shared" si="17"/>
        <v>108873103.50729272</v>
      </c>
    </row>
    <row r="393" spans="2:14" s="16" customFormat="1" ht="15.75" customHeight="1">
      <c r="B393" s="7">
        <v>2026</v>
      </c>
      <c r="C393" s="7" t="s">
        <v>26</v>
      </c>
      <c r="D393" s="2" t="s">
        <v>15</v>
      </c>
      <c r="E393" s="2" t="s">
        <v>15</v>
      </c>
      <c r="F393" s="7" t="s">
        <v>16</v>
      </c>
      <c r="G393" s="52">
        <v>0.33999999999999997</v>
      </c>
      <c r="H393" s="29">
        <v>210933</v>
      </c>
      <c r="I393" s="55">
        <f t="shared" si="19"/>
        <v>71717.219999999987</v>
      </c>
      <c r="J393" s="29">
        <v>21219.113999999856</v>
      </c>
      <c r="K393" s="54">
        <f t="shared" si="18"/>
        <v>3.3798404589371862</v>
      </c>
      <c r="L393" s="15">
        <v>2.2414435745588968</v>
      </c>
      <c r="M393" s="49">
        <v>551.91486873773351</v>
      </c>
      <c r="N393" s="49">
        <f t="shared" si="17"/>
        <v>39581800.062535152</v>
      </c>
    </row>
    <row r="394" spans="2:14" s="16" customFormat="1" ht="15.75" customHeight="1">
      <c r="B394" s="7">
        <v>2026</v>
      </c>
      <c r="C394" s="7" t="s">
        <v>26</v>
      </c>
      <c r="D394" s="2" t="s">
        <v>15</v>
      </c>
      <c r="E394" s="2" t="s">
        <v>15</v>
      </c>
      <c r="F394" s="7" t="s">
        <v>17</v>
      </c>
      <c r="G394" s="52">
        <v>0.19000031061799064</v>
      </c>
      <c r="H394" s="29">
        <v>210933</v>
      </c>
      <c r="I394" s="55">
        <f t="shared" si="19"/>
        <v>40077.335519584616</v>
      </c>
      <c r="J394" s="29">
        <v>12143.261999999988</v>
      </c>
      <c r="K394" s="54">
        <f t="shared" si="18"/>
        <v>3.3003764161215212</v>
      </c>
      <c r="L394" s="15">
        <v>2.1027122210923936</v>
      </c>
      <c r="M394" s="49">
        <v>551.91486873773351</v>
      </c>
      <c r="N394" s="49">
        <f t="shared" si="17"/>
        <v>22119277.372649647</v>
      </c>
    </row>
    <row r="395" spans="2:14" s="16" customFormat="1" ht="15.75" customHeight="1">
      <c r="B395" s="7">
        <v>2026</v>
      </c>
      <c r="C395" s="7" t="s">
        <v>26</v>
      </c>
      <c r="D395" s="2" t="s">
        <v>15</v>
      </c>
      <c r="E395" s="2" t="s">
        <v>15</v>
      </c>
      <c r="F395" s="7" t="s">
        <v>18</v>
      </c>
      <c r="G395" s="52">
        <v>0.19999999999999998</v>
      </c>
      <c r="H395" s="29">
        <v>210933</v>
      </c>
      <c r="I395" s="55">
        <f t="shared" si="19"/>
        <v>42186.6</v>
      </c>
      <c r="J395" s="29">
        <v>0</v>
      </c>
      <c r="K395" s="54">
        <f t="shared" si="18"/>
        <v>0</v>
      </c>
      <c r="L395" s="15">
        <v>1.4995756130681794</v>
      </c>
      <c r="M395" s="49">
        <v>551.91486873773351</v>
      </c>
      <c r="N395" s="49">
        <f t="shared" si="17"/>
        <v>23283411.801491268</v>
      </c>
    </row>
    <row r="396" spans="2:14" s="16" customFormat="1" ht="15.75" customHeight="1">
      <c r="B396" s="7">
        <v>2026</v>
      </c>
      <c r="C396" s="7" t="s">
        <v>26</v>
      </c>
      <c r="D396" s="2" t="s">
        <v>15</v>
      </c>
      <c r="E396" s="2" t="s">
        <v>15</v>
      </c>
      <c r="F396" s="7" t="s">
        <v>19</v>
      </c>
      <c r="G396" s="52">
        <v>0.26999999999999996</v>
      </c>
      <c r="H396" s="29">
        <v>210933</v>
      </c>
      <c r="I396" s="55">
        <f t="shared" si="19"/>
        <v>56951.909999999989</v>
      </c>
      <c r="J396" s="29">
        <v>22047.651000000253</v>
      </c>
      <c r="K396" s="54">
        <f t="shared" si="18"/>
        <v>2.5831282434577423</v>
      </c>
      <c r="L396" s="15">
        <v>2.2035926105884505</v>
      </c>
      <c r="M396" s="49">
        <v>551.91486873773351</v>
      </c>
      <c r="N396" s="49">
        <f t="shared" si="17"/>
        <v>31432605.932013206</v>
      </c>
    </row>
    <row r="397" spans="2:14" s="16" customFormat="1" ht="15.75" customHeight="1">
      <c r="B397" s="7">
        <v>2026</v>
      </c>
      <c r="C397" s="7" t="s">
        <v>26</v>
      </c>
      <c r="D397" s="2" t="s">
        <v>15</v>
      </c>
      <c r="E397" s="2" t="s">
        <v>15</v>
      </c>
      <c r="F397" s="22" t="s">
        <v>20</v>
      </c>
      <c r="G397" s="53">
        <v>1</v>
      </c>
      <c r="H397" s="29">
        <v>210933</v>
      </c>
      <c r="I397" s="55">
        <f t="shared" si="19"/>
        <v>210933</v>
      </c>
      <c r="J397" s="29">
        <f>SUM(J393:J396)</f>
        <v>55410.027000000096</v>
      </c>
      <c r="K397" s="54">
        <f t="shared" si="18"/>
        <v>3.8067658765082291</v>
      </c>
      <c r="L397" s="15">
        <v>2.0118310048269801</v>
      </c>
      <c r="M397" s="49">
        <v>551.91486873773351</v>
      </c>
      <c r="N397" s="49">
        <f t="shared" si="17"/>
        <v>116417059.00745635</v>
      </c>
    </row>
    <row r="398" spans="2:14" s="16" customFormat="1" ht="15.75" customHeight="1">
      <c r="B398" s="7">
        <v>2026</v>
      </c>
      <c r="C398" s="7" t="s">
        <v>27</v>
      </c>
      <c r="D398" s="2" t="s">
        <v>15</v>
      </c>
      <c r="E398" s="2" t="s">
        <v>15</v>
      </c>
      <c r="F398" s="7" t="s">
        <v>16</v>
      </c>
      <c r="G398" s="52">
        <v>0.33999999999999997</v>
      </c>
      <c r="H398" s="29">
        <v>230304</v>
      </c>
      <c r="I398" s="55">
        <f t="shared" si="19"/>
        <v>78303.359999999986</v>
      </c>
      <c r="J398" s="29">
        <v>29775.895799999755</v>
      </c>
      <c r="K398" s="54">
        <f t="shared" si="18"/>
        <v>2.6297566503440217</v>
      </c>
      <c r="L398" s="15">
        <v>2.2414435745588968</v>
      </c>
      <c r="M398" s="49">
        <v>544.41109332564952</v>
      </c>
      <c r="N398" s="49">
        <f t="shared" si="17"/>
        <v>42629217.828671925</v>
      </c>
    </row>
    <row r="399" spans="2:14" s="16" customFormat="1" ht="15.75" customHeight="1">
      <c r="B399" s="7">
        <v>2026</v>
      </c>
      <c r="C399" s="7" t="s">
        <v>27</v>
      </c>
      <c r="D399" s="2" t="s">
        <v>15</v>
      </c>
      <c r="E399" s="2" t="s">
        <v>15</v>
      </c>
      <c r="F399" s="7" t="s">
        <v>17</v>
      </c>
      <c r="G399" s="52">
        <v>0.19000031061799064</v>
      </c>
      <c r="H399" s="29">
        <v>230304</v>
      </c>
      <c r="I399" s="55">
        <f t="shared" si="19"/>
        <v>43757.831536565718</v>
      </c>
      <c r="J399" s="29">
        <v>19040.952000000034</v>
      </c>
      <c r="K399" s="54">
        <f t="shared" si="18"/>
        <v>2.298090533318168</v>
      </c>
      <c r="L399" s="15">
        <v>2.1027122210923936</v>
      </c>
      <c r="M399" s="49">
        <v>544.41109332564952</v>
      </c>
      <c r="N399" s="49">
        <f t="shared" si="17"/>
        <v>23822248.908381328</v>
      </c>
    </row>
    <row r="400" spans="2:14" s="16" customFormat="1" ht="15.75" customHeight="1">
      <c r="B400" s="7">
        <v>2026</v>
      </c>
      <c r="C400" s="7" t="s">
        <v>27</v>
      </c>
      <c r="D400" s="2" t="s">
        <v>15</v>
      </c>
      <c r="E400" s="2" t="s">
        <v>15</v>
      </c>
      <c r="F400" s="7" t="s">
        <v>18</v>
      </c>
      <c r="G400" s="52">
        <v>0.19999999999999998</v>
      </c>
      <c r="H400" s="29">
        <v>230304</v>
      </c>
      <c r="I400" s="55">
        <f t="shared" si="19"/>
        <v>46060.799999999996</v>
      </c>
      <c r="J400" s="29">
        <v>0</v>
      </c>
      <c r="K400" s="54">
        <f t="shared" si="18"/>
        <v>0</v>
      </c>
      <c r="L400" s="15">
        <v>1.4995756130681794</v>
      </c>
      <c r="M400" s="49">
        <v>544.41109332564952</v>
      </c>
      <c r="N400" s="49">
        <f t="shared" si="17"/>
        <v>25076010.487454075</v>
      </c>
    </row>
    <row r="401" spans="2:14" s="16" customFormat="1" ht="15.75" customHeight="1">
      <c r="B401" s="7">
        <v>2026</v>
      </c>
      <c r="C401" s="7" t="s">
        <v>27</v>
      </c>
      <c r="D401" s="2" t="s">
        <v>15</v>
      </c>
      <c r="E401" s="2" t="s">
        <v>15</v>
      </c>
      <c r="F401" s="7" t="s">
        <v>19</v>
      </c>
      <c r="G401" s="52">
        <v>0.26999999999999996</v>
      </c>
      <c r="H401" s="29">
        <v>230304</v>
      </c>
      <c r="I401" s="55">
        <f t="shared" si="19"/>
        <v>62182.079999999994</v>
      </c>
      <c r="J401" s="29">
        <v>25466.158200000482</v>
      </c>
      <c r="K401" s="54">
        <f t="shared" si="18"/>
        <v>2.4417534640147966</v>
      </c>
      <c r="L401" s="15">
        <v>2.2035926105884505</v>
      </c>
      <c r="M401" s="49">
        <v>544.41109332564952</v>
      </c>
      <c r="N401" s="49">
        <f t="shared" si="17"/>
        <v>33852614.158063002</v>
      </c>
    </row>
    <row r="402" spans="2:14" s="16" customFormat="1" ht="15.75" customHeight="1">
      <c r="B402" s="7">
        <v>2026</v>
      </c>
      <c r="C402" s="7" t="s">
        <v>27</v>
      </c>
      <c r="D402" s="2" t="s">
        <v>15</v>
      </c>
      <c r="E402" s="2" t="s">
        <v>15</v>
      </c>
      <c r="F402" s="22" t="s">
        <v>20</v>
      </c>
      <c r="G402" s="53">
        <v>1</v>
      </c>
      <c r="H402" s="29">
        <v>230304</v>
      </c>
      <c r="I402" s="55">
        <f t="shared" si="19"/>
        <v>230304</v>
      </c>
      <c r="J402" s="29">
        <f>SUM(J398:J401)</f>
        <v>74283.00600000027</v>
      </c>
      <c r="K402" s="54">
        <f t="shared" si="18"/>
        <v>3.1003591857873811</v>
      </c>
      <c r="L402" s="15">
        <v>2.0118310048269801</v>
      </c>
      <c r="M402" s="49">
        <v>544.41109332564952</v>
      </c>
      <c r="N402" s="49">
        <f t="shared" si="17"/>
        <v>125380052.43727039</v>
      </c>
    </row>
    <row r="403" spans="2:14" s="16" customFormat="1" ht="15.75" customHeight="1">
      <c r="B403" s="7">
        <v>2026</v>
      </c>
      <c r="C403" s="7" t="s">
        <v>28</v>
      </c>
      <c r="D403" s="2" t="s">
        <v>15</v>
      </c>
      <c r="E403" s="2" t="s">
        <v>15</v>
      </c>
      <c r="F403" s="7" t="s">
        <v>16</v>
      </c>
      <c r="G403" s="52">
        <v>0.33999999999999997</v>
      </c>
      <c r="H403" s="29">
        <v>198139</v>
      </c>
      <c r="I403" s="55">
        <f t="shared" si="19"/>
        <v>67367.259999999995</v>
      </c>
      <c r="J403" s="29">
        <v>32810.84399999975</v>
      </c>
      <c r="K403" s="54">
        <f t="shared" si="18"/>
        <v>2.0532010697439085</v>
      </c>
      <c r="L403" s="15">
        <v>2.2414435745588968</v>
      </c>
      <c r="M403" s="49">
        <v>544.41109332564952</v>
      </c>
      <c r="N403" s="49">
        <f t="shared" si="17"/>
        <v>36675483.670953296</v>
      </c>
    </row>
    <row r="404" spans="2:14" s="16" customFormat="1" ht="15.75" customHeight="1">
      <c r="B404" s="7">
        <v>2026</v>
      </c>
      <c r="C404" s="7" t="s">
        <v>28</v>
      </c>
      <c r="D404" s="2" t="s">
        <v>15</v>
      </c>
      <c r="E404" s="2" t="s">
        <v>15</v>
      </c>
      <c r="F404" s="7" t="s">
        <v>17</v>
      </c>
      <c r="G404" s="52">
        <v>0.19000031061799064</v>
      </c>
      <c r="H404" s="29">
        <v>198139</v>
      </c>
      <c r="I404" s="55">
        <f t="shared" si="19"/>
        <v>37646.47154553805</v>
      </c>
      <c r="J404" s="29">
        <v>20560.320000000098</v>
      </c>
      <c r="K404" s="54">
        <f t="shared" si="18"/>
        <v>1.8310255650465495</v>
      </c>
      <c r="L404" s="15">
        <v>2.1027122210923936</v>
      </c>
      <c r="M404" s="49">
        <v>544.41109332564952</v>
      </c>
      <c r="N404" s="49">
        <f t="shared" si="17"/>
        <v>20495156.733959325</v>
      </c>
    </row>
    <row r="405" spans="2:14" s="16" customFormat="1" ht="15.75" customHeight="1">
      <c r="B405" s="7">
        <v>2026</v>
      </c>
      <c r="C405" s="7" t="s">
        <v>28</v>
      </c>
      <c r="D405" s="2" t="s">
        <v>15</v>
      </c>
      <c r="E405" s="2" t="s">
        <v>15</v>
      </c>
      <c r="F405" s="7" t="s">
        <v>18</v>
      </c>
      <c r="G405" s="52">
        <v>0.19999999999999998</v>
      </c>
      <c r="H405" s="29">
        <v>198139</v>
      </c>
      <c r="I405" s="55">
        <f t="shared" si="19"/>
        <v>39627.799999999996</v>
      </c>
      <c r="J405" s="29">
        <v>0</v>
      </c>
      <c r="K405" s="54">
        <f t="shared" si="18"/>
        <v>0</v>
      </c>
      <c r="L405" s="15">
        <v>1.4995756130681794</v>
      </c>
      <c r="M405" s="49">
        <v>544.41109332564952</v>
      </c>
      <c r="N405" s="49">
        <f t="shared" si="17"/>
        <v>21573813.924090173</v>
      </c>
    </row>
    <row r="406" spans="2:14" s="16" customFormat="1" ht="15.75" customHeight="1">
      <c r="B406" s="7">
        <v>2026</v>
      </c>
      <c r="C406" s="7" t="s">
        <v>28</v>
      </c>
      <c r="D406" s="2" t="s">
        <v>15</v>
      </c>
      <c r="E406" s="2" t="s">
        <v>15</v>
      </c>
      <c r="F406" s="7" t="s">
        <v>19</v>
      </c>
      <c r="G406" s="52">
        <v>0.26999999999999996</v>
      </c>
      <c r="H406" s="29">
        <v>198139</v>
      </c>
      <c r="I406" s="55">
        <f t="shared" si="19"/>
        <v>53497.529999999992</v>
      </c>
      <c r="J406" s="29">
        <v>28551.091200000465</v>
      </c>
      <c r="K406" s="54">
        <f t="shared" si="18"/>
        <v>1.8737472983168897</v>
      </c>
      <c r="L406" s="15">
        <v>2.2035926105884505</v>
      </c>
      <c r="M406" s="49">
        <v>544.41109332564952</v>
      </c>
      <c r="N406" s="49">
        <f t="shared" si="17"/>
        <v>29124648.797521729</v>
      </c>
    </row>
    <row r="407" spans="2:14" s="16" customFormat="1" ht="15.75" customHeight="1">
      <c r="B407" s="7">
        <v>2026</v>
      </c>
      <c r="C407" s="7" t="s">
        <v>28</v>
      </c>
      <c r="D407" s="2" t="s">
        <v>15</v>
      </c>
      <c r="E407" s="2" t="s">
        <v>15</v>
      </c>
      <c r="F407" s="22" t="s">
        <v>20</v>
      </c>
      <c r="G407" s="53">
        <v>1</v>
      </c>
      <c r="H407" s="29">
        <v>198139</v>
      </c>
      <c r="I407" s="55">
        <f t="shared" si="19"/>
        <v>198139</v>
      </c>
      <c r="J407" s="29">
        <f>SUM(J403:J406)</f>
        <v>81922.255200000305</v>
      </c>
      <c r="K407" s="54">
        <f t="shared" si="18"/>
        <v>2.4186223818701618</v>
      </c>
      <c r="L407" s="15">
        <v>2.0118310048269801</v>
      </c>
      <c r="M407" s="49">
        <v>544.41109332564952</v>
      </c>
      <c r="N407" s="49">
        <f t="shared" si="17"/>
        <v>107869069.62045087</v>
      </c>
    </row>
    <row r="408" spans="2:14" s="16" customFormat="1" ht="15.75" customHeight="1">
      <c r="B408" s="7">
        <v>2026</v>
      </c>
      <c r="C408" s="7" t="s">
        <v>29</v>
      </c>
      <c r="D408" s="2" t="s">
        <v>15</v>
      </c>
      <c r="E408" s="2" t="s">
        <v>15</v>
      </c>
      <c r="F408" s="7" t="s">
        <v>16</v>
      </c>
      <c r="G408" s="52">
        <v>0.33999999999999997</v>
      </c>
      <c r="H408" s="29">
        <v>279900</v>
      </c>
      <c r="I408" s="55">
        <f t="shared" si="19"/>
        <v>95165.999999999985</v>
      </c>
      <c r="J408" s="29">
        <v>32581.805999999811</v>
      </c>
      <c r="K408" s="54">
        <f t="shared" si="18"/>
        <v>2.9208325652666565</v>
      </c>
      <c r="L408" s="15">
        <v>2.2414435745588968</v>
      </c>
      <c r="M408" s="49">
        <v>529.57771806764561</v>
      </c>
      <c r="N408" s="49">
        <f t="shared" si="17"/>
        <v>50397793.117625557</v>
      </c>
    </row>
    <row r="409" spans="2:14" s="16" customFormat="1" ht="15.75" customHeight="1">
      <c r="B409" s="7">
        <v>2026</v>
      </c>
      <c r="C409" s="7" t="s">
        <v>29</v>
      </c>
      <c r="D409" s="2" t="s">
        <v>15</v>
      </c>
      <c r="E409" s="2" t="s">
        <v>15</v>
      </c>
      <c r="F409" s="7" t="s">
        <v>17</v>
      </c>
      <c r="G409" s="52">
        <v>0.19000031061799064</v>
      </c>
      <c r="H409" s="29">
        <v>279900</v>
      </c>
      <c r="I409" s="55">
        <f t="shared" si="19"/>
        <v>53181.086941975576</v>
      </c>
      <c r="J409" s="29">
        <v>20681.034000000167</v>
      </c>
      <c r="K409" s="54">
        <f t="shared" si="18"/>
        <v>2.5714907166621912</v>
      </c>
      <c r="L409" s="15">
        <v>2.1027122210923936</v>
      </c>
      <c r="M409" s="49">
        <v>529.57771806764561</v>
      </c>
      <c r="N409" s="49">
        <f t="shared" si="17"/>
        <v>28163518.66708849</v>
      </c>
    </row>
    <row r="410" spans="2:14" s="16" customFormat="1" ht="15.75" customHeight="1">
      <c r="B410" s="7">
        <v>2026</v>
      </c>
      <c r="C410" s="7" t="s">
        <v>29</v>
      </c>
      <c r="D410" s="2" t="s">
        <v>15</v>
      </c>
      <c r="E410" s="2" t="s">
        <v>15</v>
      </c>
      <c r="F410" s="7" t="s">
        <v>18</v>
      </c>
      <c r="G410" s="52">
        <v>0.19999999999999998</v>
      </c>
      <c r="H410" s="29">
        <v>279900</v>
      </c>
      <c r="I410" s="55">
        <f t="shared" si="19"/>
        <v>55979.999999999993</v>
      </c>
      <c r="J410" s="29">
        <v>0</v>
      </c>
      <c r="K410" s="54">
        <f t="shared" si="18"/>
        <v>0</v>
      </c>
      <c r="L410" s="15">
        <v>1.4995756130681794</v>
      </c>
      <c r="M410" s="49">
        <v>529.57771806764561</v>
      </c>
      <c r="N410" s="49">
        <f t="shared" si="17"/>
        <v>29645760.657426797</v>
      </c>
    </row>
    <row r="411" spans="2:14" s="16" customFormat="1" ht="15.75" customHeight="1">
      <c r="B411" s="7">
        <v>2026</v>
      </c>
      <c r="C411" s="7" t="s">
        <v>29</v>
      </c>
      <c r="D411" s="2" t="s">
        <v>15</v>
      </c>
      <c r="E411" s="2" t="s">
        <v>15</v>
      </c>
      <c r="F411" s="7" t="s">
        <v>19</v>
      </c>
      <c r="G411" s="52">
        <v>0.26999999999999996</v>
      </c>
      <c r="H411" s="29">
        <v>279900</v>
      </c>
      <c r="I411" s="55">
        <f t="shared" si="19"/>
        <v>75572.999999999985</v>
      </c>
      <c r="J411" s="29">
        <v>28363.046400000308</v>
      </c>
      <c r="K411" s="54">
        <f t="shared" si="18"/>
        <v>2.6644881136604268</v>
      </c>
      <c r="L411" s="15">
        <v>2.2035926105884505</v>
      </c>
      <c r="M411" s="49">
        <v>529.57771806764561</v>
      </c>
      <c r="N411" s="49">
        <f t="shared" si="17"/>
        <v>40021776.887526177</v>
      </c>
    </row>
    <row r="412" spans="2:14" s="16" customFormat="1" ht="15.75" customHeight="1">
      <c r="B412" s="7">
        <v>2026</v>
      </c>
      <c r="C412" s="7" t="s">
        <v>29</v>
      </c>
      <c r="D412" s="2" t="s">
        <v>15</v>
      </c>
      <c r="E412" s="2" t="s">
        <v>15</v>
      </c>
      <c r="F412" s="22" t="s">
        <v>20</v>
      </c>
      <c r="G412" s="53">
        <v>1</v>
      </c>
      <c r="H412" s="29">
        <v>279900</v>
      </c>
      <c r="I412" s="55">
        <f t="shared" si="19"/>
        <v>279900</v>
      </c>
      <c r="J412" s="29">
        <f>SUM(J408:J411)</f>
        <v>81625.886400000294</v>
      </c>
      <c r="K412" s="54">
        <f t="shared" si="18"/>
        <v>3.4290592402069033</v>
      </c>
      <c r="L412" s="15">
        <v>2.0118310048269801</v>
      </c>
      <c r="M412" s="49">
        <v>529.57771806764561</v>
      </c>
      <c r="N412" s="49">
        <f>I412*M412</f>
        <v>148228803.28713399</v>
      </c>
    </row>
    <row r="413" spans="2:14" s="16" customFormat="1" ht="15.75" customHeight="1">
      <c r="B413" s="7"/>
      <c r="C413" s="7"/>
      <c r="D413" s="2"/>
      <c r="E413" s="2"/>
      <c r="F413" s="7"/>
      <c r="G413" s="7"/>
      <c r="H413" s="29"/>
      <c r="I413" s="55"/>
      <c r="J413" s="29"/>
      <c r="K413" s="15"/>
      <c r="L413" s="15"/>
      <c r="M413" s="49"/>
      <c r="N413" s="49"/>
    </row>
    <row r="414" spans="2:14" s="16" customFormat="1" ht="15.75" customHeight="1">
      <c r="B414" s="7"/>
      <c r="C414" s="7"/>
      <c r="D414" s="2"/>
      <c r="E414" s="2"/>
      <c r="F414" s="7"/>
      <c r="G414" s="7"/>
      <c r="H414" s="29"/>
      <c r="I414" s="55"/>
      <c r="J414" s="29"/>
      <c r="K414" s="15"/>
      <c r="L414" s="15"/>
      <c r="M414" s="49"/>
      <c r="N414" s="49"/>
    </row>
    <row r="415" spans="2:14" s="16" customFormat="1" ht="15.75" customHeight="1">
      <c r="B415" s="7"/>
      <c r="C415" s="7"/>
      <c r="D415" s="2"/>
      <c r="E415" s="2"/>
      <c r="F415" s="7"/>
      <c r="G415" s="7"/>
      <c r="H415" s="29"/>
      <c r="I415" s="55"/>
      <c r="J415" s="29"/>
      <c r="K415" s="15"/>
      <c r="L415" s="15"/>
      <c r="M415" s="49"/>
      <c r="N415" s="49"/>
    </row>
    <row r="416" spans="2:14" s="16" customFormat="1" ht="15.75" customHeight="1">
      <c r="B416" s="7"/>
      <c r="C416" s="7"/>
      <c r="D416" s="2"/>
      <c r="E416" s="2"/>
      <c r="F416" s="7"/>
      <c r="G416" s="7"/>
      <c r="H416" s="29"/>
      <c r="I416" s="55"/>
      <c r="J416" s="29"/>
      <c r="K416" s="15"/>
      <c r="L416" s="15"/>
      <c r="M416" s="49"/>
      <c r="N416" s="49"/>
    </row>
    <row r="417" spans="2:14" s="16" customFormat="1" ht="15.75" customHeight="1">
      <c r="B417" s="7"/>
      <c r="C417" s="7"/>
      <c r="D417" s="2"/>
      <c r="E417" s="2"/>
      <c r="F417" s="22"/>
      <c r="G417" s="22"/>
      <c r="H417" s="29"/>
      <c r="I417" s="55"/>
      <c r="J417" s="29"/>
      <c r="K417" s="15"/>
      <c r="L417" s="15"/>
      <c r="M417" s="49"/>
      <c r="N417" s="49"/>
    </row>
    <row r="418" spans="2:14" s="16" customFormat="1" ht="15.75" customHeight="1">
      <c r="B418" s="7"/>
      <c r="C418" s="7"/>
      <c r="D418" s="2"/>
      <c r="E418" s="2"/>
      <c r="F418" s="7"/>
      <c r="G418" s="7"/>
      <c r="H418" s="29"/>
      <c r="I418" s="55"/>
      <c r="J418" s="29"/>
      <c r="K418" s="15"/>
      <c r="L418" s="15"/>
      <c r="M418" s="49"/>
      <c r="N418" s="49"/>
    </row>
    <row r="419" spans="2:14" s="16" customFormat="1" ht="15.75" customHeight="1">
      <c r="B419" s="7"/>
      <c r="C419" s="7"/>
      <c r="D419" s="2"/>
      <c r="E419" s="2"/>
      <c r="F419" s="7"/>
      <c r="G419" s="7"/>
      <c r="H419" s="29"/>
      <c r="I419" s="55"/>
      <c r="J419" s="29"/>
      <c r="K419" s="15"/>
      <c r="L419" s="15"/>
      <c r="M419" s="49"/>
      <c r="N419" s="49"/>
    </row>
    <row r="420" spans="2:14" s="16" customFormat="1" ht="15.75" customHeight="1">
      <c r="B420" s="7"/>
      <c r="C420" s="7"/>
      <c r="D420" s="2"/>
      <c r="E420" s="2"/>
      <c r="F420" s="7"/>
      <c r="G420" s="7"/>
      <c r="H420" s="29"/>
      <c r="I420" s="55"/>
      <c r="J420" s="29"/>
      <c r="K420" s="15"/>
      <c r="L420" s="15"/>
      <c r="M420" s="49"/>
      <c r="N420" s="49"/>
    </row>
    <row r="421" spans="2:14" s="16" customFormat="1" ht="15.75" customHeight="1">
      <c r="B421" s="7"/>
      <c r="C421" s="7"/>
      <c r="D421" s="2"/>
      <c r="E421" s="2"/>
      <c r="F421" s="7"/>
      <c r="G421" s="7"/>
      <c r="H421" s="29"/>
      <c r="I421" s="55"/>
      <c r="J421" s="29"/>
      <c r="K421" s="15"/>
      <c r="L421" s="15"/>
      <c r="M421" s="49"/>
      <c r="N421" s="49"/>
    </row>
    <row r="422" spans="2:14" s="16" customFormat="1" ht="15.75" customHeight="1">
      <c r="B422" s="7"/>
      <c r="C422" s="7"/>
      <c r="D422" s="2"/>
      <c r="E422" s="2"/>
      <c r="F422" s="22"/>
      <c r="G422" s="22"/>
      <c r="H422" s="29"/>
      <c r="I422" s="55"/>
      <c r="J422" s="29"/>
      <c r="K422" s="15"/>
      <c r="L422" s="15"/>
      <c r="M422" s="49"/>
      <c r="N422" s="49"/>
    </row>
  </sheetData>
  <mergeCells count="1">
    <mergeCell ref="D1:E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FB40-2432-498C-8E02-9B1E9B18F48A}">
  <dimension ref="B1:N655"/>
  <sheetViews>
    <sheetView showGridLines="0" zoomScale="120" workbookViewId="0">
      <pane ySplit="2" topLeftCell="A18" activePane="bottomLeft" state="frozen"/>
      <selection pane="bottomLeft" activeCell="H569" sqref="H569"/>
    </sheetView>
  </sheetViews>
  <sheetFormatPr defaultColWidth="11.42578125" defaultRowHeight="14.45"/>
  <cols>
    <col min="3" max="3" width="12.140625" customWidth="1"/>
    <col min="4" max="5" width="10.85546875" bestFit="1" customWidth="1"/>
    <col min="6" max="6" width="19.140625" customWidth="1"/>
    <col min="7" max="7" width="10.85546875" bestFit="1" customWidth="1"/>
    <col min="8" max="9" width="10.85546875" style="12" bestFit="1" customWidth="1"/>
    <col min="10" max="10" width="23" style="29" customWidth="1"/>
    <col min="11" max="12" width="19.28515625" bestFit="1" customWidth="1"/>
    <col min="13" max="13" width="17.85546875" bestFit="1" customWidth="1"/>
    <col min="14" max="14" width="14.7109375" bestFit="1" customWidth="1"/>
  </cols>
  <sheetData>
    <row r="1" spans="2:14">
      <c r="M1" t="s">
        <v>0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7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>
        <v>2019</v>
      </c>
      <c r="C3" s="2" t="s">
        <v>14</v>
      </c>
      <c r="D3" s="12" t="s">
        <v>15</v>
      </c>
      <c r="E3" s="12" t="s">
        <v>15</v>
      </c>
      <c r="F3" t="s">
        <v>32</v>
      </c>
      <c r="G3" s="3">
        <v>0.14640078684071758</v>
      </c>
      <c r="H3" s="6">
        <v>577644</v>
      </c>
      <c r="I3" s="6">
        <f t="shared" ref="I3:I66" si="0">G3*H3</f>
        <v>84567.536113819471</v>
      </c>
      <c r="K3" s="58">
        <f>IFERROR(I3/J3,0)</f>
        <v>0</v>
      </c>
      <c r="L3" s="56"/>
      <c r="M3" s="49"/>
      <c r="N3" s="49">
        <f>M3*I3</f>
        <v>0</v>
      </c>
    </row>
    <row r="4" spans="2:14">
      <c r="B4" s="2">
        <v>2019</v>
      </c>
      <c r="C4" s="2" t="s">
        <v>14</v>
      </c>
      <c r="D4" s="12" t="s">
        <v>15</v>
      </c>
      <c r="E4" s="12" t="s">
        <v>15</v>
      </c>
      <c r="F4" t="s">
        <v>33</v>
      </c>
      <c r="G4" s="3">
        <v>0.10736057701652624</v>
      </c>
      <c r="H4" s="6">
        <v>577644</v>
      </c>
      <c r="I4" s="6">
        <f t="shared" si="0"/>
        <v>62016.193150134284</v>
      </c>
      <c r="K4" s="58">
        <f t="shared" ref="K4:K67" si="1">IFERROR(I4/J4,0)</f>
        <v>0</v>
      </c>
      <c r="L4" s="56"/>
      <c r="M4" s="49"/>
      <c r="N4" s="49">
        <f>M4*I4</f>
        <v>0</v>
      </c>
    </row>
    <row r="5" spans="2:14">
      <c r="B5" s="2">
        <v>2019</v>
      </c>
      <c r="C5" s="2" t="s">
        <v>14</v>
      </c>
      <c r="D5" s="12" t="s">
        <v>15</v>
      </c>
      <c r="E5" s="12" t="s">
        <v>15</v>
      </c>
      <c r="F5" t="s">
        <v>34</v>
      </c>
      <c r="G5" s="3">
        <v>0.37088199332981786</v>
      </c>
      <c r="H5" s="6">
        <v>577644</v>
      </c>
      <c r="I5" s="6">
        <f t="shared" si="0"/>
        <v>214237.7581550093</v>
      </c>
      <c r="K5" s="58">
        <f t="shared" si="1"/>
        <v>0</v>
      </c>
      <c r="L5" s="56"/>
      <c r="M5" s="49"/>
      <c r="N5" s="49">
        <f>M5*I5</f>
        <v>0</v>
      </c>
    </row>
    <row r="6" spans="2:14">
      <c r="B6" s="2">
        <v>2019</v>
      </c>
      <c r="C6" s="2" t="s">
        <v>14</v>
      </c>
      <c r="D6" s="12" t="s">
        <v>15</v>
      </c>
      <c r="E6" s="12" t="s">
        <v>15</v>
      </c>
      <c r="F6" t="s">
        <v>35</v>
      </c>
      <c r="G6" s="3">
        <v>9.7600524560478394E-2</v>
      </c>
      <c r="H6" s="6">
        <v>577644</v>
      </c>
      <c r="I6" s="6">
        <f t="shared" si="0"/>
        <v>56378.357409212978</v>
      </c>
      <c r="K6" s="58">
        <f t="shared" si="1"/>
        <v>0</v>
      </c>
      <c r="L6" s="56"/>
      <c r="M6" s="49"/>
      <c r="N6" s="49">
        <f>M6*I6</f>
        <v>0</v>
      </c>
    </row>
    <row r="7" spans="2:14">
      <c r="B7" s="2">
        <v>2019</v>
      </c>
      <c r="C7" s="2" t="s">
        <v>14</v>
      </c>
      <c r="D7" s="12" t="s">
        <v>15</v>
      </c>
      <c r="E7" s="12" t="s">
        <v>15</v>
      </c>
      <c r="F7" t="s">
        <v>36</v>
      </c>
      <c r="G7" s="3">
        <v>0.11712062947257405</v>
      </c>
      <c r="H7" s="6">
        <v>577644</v>
      </c>
      <c r="I7" s="6">
        <f t="shared" si="0"/>
        <v>67654.028891055568</v>
      </c>
      <c r="K7" s="58">
        <f t="shared" si="1"/>
        <v>0</v>
      </c>
      <c r="L7" s="56"/>
      <c r="M7" s="49"/>
      <c r="N7" s="49">
        <f>M7*I7</f>
        <v>0</v>
      </c>
    </row>
    <row r="8" spans="2:14">
      <c r="B8" s="2">
        <v>2019</v>
      </c>
      <c r="C8" s="2" t="s">
        <v>14</v>
      </c>
      <c r="D8" s="12" t="s">
        <v>15</v>
      </c>
      <c r="E8" s="12" t="s">
        <v>15</v>
      </c>
      <c r="F8" t="s">
        <v>37</v>
      </c>
      <c r="G8" s="3">
        <v>0.13664073438466978</v>
      </c>
      <c r="H8" s="6">
        <v>577644</v>
      </c>
      <c r="I8" s="6">
        <f t="shared" si="0"/>
        <v>78929.700372898194</v>
      </c>
      <c r="K8" s="58">
        <f t="shared" si="1"/>
        <v>0</v>
      </c>
      <c r="L8" s="56"/>
      <c r="M8" s="49"/>
      <c r="N8" s="49">
        <f>M8*I8</f>
        <v>0</v>
      </c>
    </row>
    <row r="9" spans="2:14" s="9" customFormat="1">
      <c r="B9" s="8">
        <v>2019</v>
      </c>
      <c r="C9" s="8" t="s">
        <v>14</v>
      </c>
      <c r="D9" s="12" t="s">
        <v>15</v>
      </c>
      <c r="E9" s="12" t="s">
        <v>15</v>
      </c>
      <c r="F9" s="9" t="s">
        <v>38</v>
      </c>
      <c r="G9" s="10">
        <v>1</v>
      </c>
      <c r="H9" s="11">
        <v>577644</v>
      </c>
      <c r="I9" s="11">
        <f t="shared" si="0"/>
        <v>577644</v>
      </c>
      <c r="J9" s="31">
        <v>102649.1793847118</v>
      </c>
      <c r="K9" s="58">
        <f t="shared" si="1"/>
        <v>5.6273611095816731</v>
      </c>
      <c r="L9" s="56"/>
      <c r="M9" s="49"/>
      <c r="N9" s="49">
        <f>M9*I9</f>
        <v>0</v>
      </c>
    </row>
    <row r="10" spans="2:14">
      <c r="B10" s="2">
        <v>2019</v>
      </c>
      <c r="C10" s="2" t="s">
        <v>21</v>
      </c>
      <c r="D10" s="12" t="s">
        <v>15</v>
      </c>
      <c r="E10" s="12" t="s">
        <v>15</v>
      </c>
      <c r="F10" t="s">
        <v>32</v>
      </c>
      <c r="G10" s="3">
        <v>0.14640078684071758</v>
      </c>
      <c r="H10" s="6">
        <v>528040</v>
      </c>
      <c r="I10" s="6">
        <f t="shared" si="0"/>
        <v>77305.471483372516</v>
      </c>
      <c r="K10" s="58">
        <f t="shared" si="1"/>
        <v>0</v>
      </c>
      <c r="L10" s="56"/>
      <c r="M10" s="49"/>
      <c r="N10" s="49">
        <f>M10*I10</f>
        <v>0</v>
      </c>
    </row>
    <row r="11" spans="2:14">
      <c r="B11" s="2">
        <v>2019</v>
      </c>
      <c r="C11" s="2" t="s">
        <v>21</v>
      </c>
      <c r="D11" s="12" t="s">
        <v>15</v>
      </c>
      <c r="E11" s="12" t="s">
        <v>15</v>
      </c>
      <c r="F11" t="s">
        <v>33</v>
      </c>
      <c r="G11" s="3">
        <v>0.10736057701652624</v>
      </c>
      <c r="H11" s="6">
        <v>528040</v>
      </c>
      <c r="I11" s="6">
        <f t="shared" si="0"/>
        <v>56690.679087806515</v>
      </c>
      <c r="K11" s="58">
        <f t="shared" si="1"/>
        <v>0</v>
      </c>
      <c r="L11" s="56"/>
      <c r="M11" s="49"/>
      <c r="N11" s="49">
        <f>M11*I11</f>
        <v>0</v>
      </c>
    </row>
    <row r="12" spans="2:14">
      <c r="B12" s="2">
        <v>2019</v>
      </c>
      <c r="C12" s="2" t="s">
        <v>21</v>
      </c>
      <c r="D12" s="12" t="s">
        <v>15</v>
      </c>
      <c r="E12" s="12" t="s">
        <v>15</v>
      </c>
      <c r="F12" t="s">
        <v>34</v>
      </c>
      <c r="G12" s="3">
        <v>0.37088199332981786</v>
      </c>
      <c r="H12" s="6">
        <v>528040</v>
      </c>
      <c r="I12" s="6">
        <f t="shared" si="0"/>
        <v>195840.52775787702</v>
      </c>
      <c r="K12" s="58">
        <f t="shared" si="1"/>
        <v>0</v>
      </c>
      <c r="L12" s="56"/>
      <c r="M12" s="49"/>
      <c r="N12" s="49">
        <f>M12*I12</f>
        <v>0</v>
      </c>
    </row>
    <row r="13" spans="2:14">
      <c r="B13" s="2">
        <v>2019</v>
      </c>
      <c r="C13" s="2" t="s">
        <v>21</v>
      </c>
      <c r="D13" s="12" t="s">
        <v>15</v>
      </c>
      <c r="E13" s="12" t="s">
        <v>15</v>
      </c>
      <c r="F13" t="s">
        <v>35</v>
      </c>
      <c r="G13" s="3">
        <v>9.7600524560478394E-2</v>
      </c>
      <c r="H13" s="6">
        <v>528040</v>
      </c>
      <c r="I13" s="6">
        <f t="shared" si="0"/>
        <v>51536.980988915013</v>
      </c>
      <c r="K13" s="58">
        <f t="shared" si="1"/>
        <v>0</v>
      </c>
      <c r="L13" s="56"/>
      <c r="M13" s="49"/>
      <c r="N13" s="49">
        <f>M13*I13</f>
        <v>0</v>
      </c>
    </row>
    <row r="14" spans="2:14">
      <c r="B14" s="2">
        <v>2019</v>
      </c>
      <c r="C14" s="2" t="s">
        <v>21</v>
      </c>
      <c r="D14" s="12" t="s">
        <v>15</v>
      </c>
      <c r="E14" s="12" t="s">
        <v>15</v>
      </c>
      <c r="F14" t="s">
        <v>36</v>
      </c>
      <c r="G14" s="3">
        <v>0.11712062947257405</v>
      </c>
      <c r="H14" s="6">
        <v>528040</v>
      </c>
      <c r="I14" s="6">
        <f t="shared" si="0"/>
        <v>61844.377186698002</v>
      </c>
      <c r="K14" s="58">
        <f t="shared" si="1"/>
        <v>0</v>
      </c>
      <c r="L14" s="56"/>
      <c r="M14" s="49"/>
      <c r="N14" s="49">
        <f>M14*I14</f>
        <v>0</v>
      </c>
    </row>
    <row r="15" spans="2:14">
      <c r="B15" s="2">
        <v>2019</v>
      </c>
      <c r="C15" s="2" t="s">
        <v>21</v>
      </c>
      <c r="D15" s="12" t="s">
        <v>15</v>
      </c>
      <c r="E15" s="12" t="s">
        <v>15</v>
      </c>
      <c r="F15" t="s">
        <v>37</v>
      </c>
      <c r="G15" s="3">
        <v>0.13664073438466978</v>
      </c>
      <c r="H15" s="13">
        <v>528040</v>
      </c>
      <c r="I15" s="13">
        <f t="shared" si="0"/>
        <v>72151.773384481028</v>
      </c>
      <c r="K15" s="58">
        <f t="shared" si="1"/>
        <v>0</v>
      </c>
      <c r="L15" s="56"/>
      <c r="M15" s="49"/>
      <c r="N15" s="49">
        <f>M15*I15</f>
        <v>0</v>
      </c>
    </row>
    <row r="16" spans="2:14">
      <c r="B16" s="2">
        <v>2019</v>
      </c>
      <c r="C16" s="2" t="s">
        <v>21</v>
      </c>
      <c r="D16" s="12" t="s">
        <v>15</v>
      </c>
      <c r="E16" s="12" t="s">
        <v>15</v>
      </c>
      <c r="F16" s="9" t="s">
        <v>38</v>
      </c>
      <c r="G16" s="10">
        <v>1</v>
      </c>
      <c r="H16" s="13">
        <v>528040</v>
      </c>
      <c r="I16" s="13">
        <f t="shared" si="0"/>
        <v>528040</v>
      </c>
      <c r="J16" s="29">
        <v>94314.949422644102</v>
      </c>
      <c r="K16" s="58">
        <f t="shared" si="1"/>
        <v>5.5986882592042484</v>
      </c>
      <c r="L16" s="56"/>
      <c r="M16" s="49"/>
      <c r="N16" s="49">
        <f>M16*I16</f>
        <v>0</v>
      </c>
    </row>
    <row r="17" spans="2:14">
      <c r="B17" s="2">
        <v>2019</v>
      </c>
      <c r="C17" s="2" t="s">
        <v>22</v>
      </c>
      <c r="D17" s="12" t="s">
        <v>15</v>
      </c>
      <c r="E17" s="12" t="s">
        <v>15</v>
      </c>
      <c r="F17" t="s">
        <v>32</v>
      </c>
      <c r="G17" s="3">
        <v>0.14640078684071758</v>
      </c>
      <c r="H17" s="13">
        <v>573320</v>
      </c>
      <c r="I17" s="13">
        <f t="shared" si="0"/>
        <v>83934.499111520199</v>
      </c>
      <c r="K17" s="58">
        <f t="shared" si="1"/>
        <v>0</v>
      </c>
      <c r="L17" s="56"/>
      <c r="M17" s="49"/>
      <c r="N17" s="49">
        <f>M17*I17</f>
        <v>0</v>
      </c>
    </row>
    <row r="18" spans="2:14">
      <c r="B18" s="2">
        <v>2019</v>
      </c>
      <c r="C18" s="2" t="s">
        <v>22</v>
      </c>
      <c r="D18" s="12" t="s">
        <v>15</v>
      </c>
      <c r="E18" s="12" t="s">
        <v>15</v>
      </c>
      <c r="F18" t="s">
        <v>33</v>
      </c>
      <c r="G18" s="3">
        <v>0.10736057701652624</v>
      </c>
      <c r="H18" s="13">
        <v>573320</v>
      </c>
      <c r="I18" s="13">
        <f t="shared" si="0"/>
        <v>61551.96601511482</v>
      </c>
      <c r="K18" s="58">
        <f t="shared" si="1"/>
        <v>0</v>
      </c>
      <c r="L18" s="56"/>
      <c r="M18" s="49"/>
      <c r="N18" s="49">
        <f>M18*I18</f>
        <v>0</v>
      </c>
    </row>
    <row r="19" spans="2:14">
      <c r="B19" s="2">
        <v>2019</v>
      </c>
      <c r="C19" s="2" t="s">
        <v>22</v>
      </c>
      <c r="D19" s="12" t="s">
        <v>15</v>
      </c>
      <c r="E19" s="12" t="s">
        <v>15</v>
      </c>
      <c r="F19" t="s">
        <v>34</v>
      </c>
      <c r="G19" s="3">
        <v>0.37088199332981786</v>
      </c>
      <c r="H19" s="13">
        <v>573320</v>
      </c>
      <c r="I19" s="13">
        <f t="shared" si="0"/>
        <v>212634.06441585117</v>
      </c>
      <c r="K19" s="58">
        <f t="shared" si="1"/>
        <v>0</v>
      </c>
      <c r="L19" s="56"/>
      <c r="M19" s="49"/>
      <c r="N19" s="49">
        <f>M19*I19</f>
        <v>0</v>
      </c>
    </row>
    <row r="20" spans="2:14">
      <c r="B20" s="2">
        <v>2019</v>
      </c>
      <c r="C20" s="2" t="s">
        <v>22</v>
      </c>
      <c r="D20" s="12" t="s">
        <v>15</v>
      </c>
      <c r="E20" s="12" t="s">
        <v>15</v>
      </c>
      <c r="F20" t="s">
        <v>35</v>
      </c>
      <c r="G20" s="3">
        <v>9.7600524560478394E-2</v>
      </c>
      <c r="H20" s="13">
        <v>573320</v>
      </c>
      <c r="I20" s="13">
        <f t="shared" si="0"/>
        <v>55956.332741013473</v>
      </c>
      <c r="K20" s="58">
        <f t="shared" si="1"/>
        <v>0</v>
      </c>
      <c r="L20" s="56"/>
      <c r="M20" s="49"/>
      <c r="N20" s="49">
        <f>M20*I20</f>
        <v>0</v>
      </c>
    </row>
    <row r="21" spans="2:14">
      <c r="B21" s="2">
        <v>2019</v>
      </c>
      <c r="C21" s="2" t="s">
        <v>22</v>
      </c>
      <c r="D21" s="12" t="s">
        <v>15</v>
      </c>
      <c r="E21" s="12" t="s">
        <v>15</v>
      </c>
      <c r="F21" t="s">
        <v>36</v>
      </c>
      <c r="G21" s="3">
        <v>0.11712062947257405</v>
      </c>
      <c r="H21" s="13">
        <v>573320</v>
      </c>
      <c r="I21" s="13">
        <f t="shared" si="0"/>
        <v>67147.599289216159</v>
      </c>
      <c r="K21" s="58">
        <f t="shared" si="1"/>
        <v>0</v>
      </c>
      <c r="L21" s="56"/>
      <c r="M21" s="49"/>
      <c r="N21" s="49">
        <f>M21*I21</f>
        <v>0</v>
      </c>
    </row>
    <row r="22" spans="2:14">
      <c r="B22" s="2">
        <v>2019</v>
      </c>
      <c r="C22" s="2" t="s">
        <v>22</v>
      </c>
      <c r="D22" s="12" t="s">
        <v>15</v>
      </c>
      <c r="E22" s="12" t="s">
        <v>15</v>
      </c>
      <c r="F22" t="s">
        <v>37</v>
      </c>
      <c r="G22" s="3">
        <v>0.13664073438466978</v>
      </c>
      <c r="H22" s="13">
        <v>573320</v>
      </c>
      <c r="I22" s="13">
        <f t="shared" si="0"/>
        <v>78338.865837418882</v>
      </c>
      <c r="K22" s="58">
        <f t="shared" si="1"/>
        <v>0</v>
      </c>
      <c r="L22" s="56"/>
      <c r="M22" s="49"/>
      <c r="N22" s="49">
        <f>M22*I22</f>
        <v>0</v>
      </c>
    </row>
    <row r="23" spans="2:14">
      <c r="B23" s="2">
        <v>2020</v>
      </c>
      <c r="C23" s="2" t="s">
        <v>22</v>
      </c>
      <c r="D23" s="12" t="s">
        <v>15</v>
      </c>
      <c r="E23" s="12" t="s">
        <v>15</v>
      </c>
      <c r="F23" s="9" t="s">
        <v>38</v>
      </c>
      <c r="G23" s="10">
        <v>1</v>
      </c>
      <c r="H23" s="13">
        <v>573320</v>
      </c>
      <c r="I23" s="13">
        <f t="shared" si="0"/>
        <v>573320</v>
      </c>
      <c r="J23" s="29">
        <v>94701.476048070181</v>
      </c>
      <c r="K23" s="58">
        <f t="shared" si="1"/>
        <v>6.0539711092674473</v>
      </c>
      <c r="L23" s="56"/>
      <c r="M23" s="49"/>
      <c r="N23" s="49">
        <f>M23*I23</f>
        <v>0</v>
      </c>
    </row>
    <row r="24" spans="2:14">
      <c r="B24" s="2">
        <v>2020</v>
      </c>
      <c r="C24" s="2" t="s">
        <v>23</v>
      </c>
      <c r="D24" s="12" t="s">
        <v>15</v>
      </c>
      <c r="E24" s="12" t="s">
        <v>15</v>
      </c>
      <c r="F24" t="s">
        <v>32</v>
      </c>
      <c r="G24" s="3">
        <v>0.14640078684071758</v>
      </c>
      <c r="H24" s="13">
        <v>578503</v>
      </c>
      <c r="I24" s="13">
        <f t="shared" si="0"/>
        <v>84693.294389715651</v>
      </c>
      <c r="K24" s="58">
        <f t="shared" si="1"/>
        <v>0</v>
      </c>
      <c r="L24" s="56"/>
      <c r="M24" s="49"/>
      <c r="N24" s="49">
        <f>M24*I24</f>
        <v>0</v>
      </c>
    </row>
    <row r="25" spans="2:14">
      <c r="B25" s="2">
        <v>2020</v>
      </c>
      <c r="C25" s="2" t="s">
        <v>23</v>
      </c>
      <c r="D25" s="12" t="s">
        <v>15</v>
      </c>
      <c r="E25" s="12" t="s">
        <v>15</v>
      </c>
      <c r="F25" t="s">
        <v>33</v>
      </c>
      <c r="G25" s="3">
        <v>0.10736057701652624</v>
      </c>
      <c r="H25" s="13">
        <v>578503</v>
      </c>
      <c r="I25" s="13">
        <f t="shared" si="0"/>
        <v>62108.415885791481</v>
      </c>
      <c r="K25" s="58">
        <f t="shared" si="1"/>
        <v>0</v>
      </c>
      <c r="L25" s="56"/>
      <c r="M25" s="49"/>
      <c r="N25" s="49">
        <f>M25*I25</f>
        <v>0</v>
      </c>
    </row>
    <row r="26" spans="2:14">
      <c r="B26" s="2">
        <v>2020</v>
      </c>
      <c r="C26" s="2" t="s">
        <v>23</v>
      </c>
      <c r="D26" s="12" t="s">
        <v>15</v>
      </c>
      <c r="E26" s="12" t="s">
        <v>15</v>
      </c>
      <c r="F26" t="s">
        <v>34</v>
      </c>
      <c r="G26" s="3">
        <v>0.37088199332981786</v>
      </c>
      <c r="H26" s="13">
        <v>578503</v>
      </c>
      <c r="I26" s="13">
        <f t="shared" si="0"/>
        <v>214556.34578727963</v>
      </c>
      <c r="K26" s="58">
        <f t="shared" si="1"/>
        <v>0</v>
      </c>
      <c r="L26" s="56"/>
      <c r="M26" s="49"/>
      <c r="N26" s="49">
        <f>M26*I26</f>
        <v>0</v>
      </c>
    </row>
    <row r="27" spans="2:14">
      <c r="B27" s="2">
        <v>2020</v>
      </c>
      <c r="C27" s="2" t="s">
        <v>23</v>
      </c>
      <c r="D27" s="12" t="s">
        <v>15</v>
      </c>
      <c r="E27" s="12" t="s">
        <v>15</v>
      </c>
      <c r="F27" t="s">
        <v>35</v>
      </c>
      <c r="G27" s="3">
        <v>9.7600524560478394E-2</v>
      </c>
      <c r="H27" s="13">
        <v>578503</v>
      </c>
      <c r="I27" s="13">
        <f t="shared" si="0"/>
        <v>56462.196259810429</v>
      </c>
      <c r="K27" s="58">
        <f t="shared" si="1"/>
        <v>0</v>
      </c>
      <c r="L27" s="56"/>
      <c r="M27" s="49"/>
      <c r="N27" s="49">
        <f>M27*I27</f>
        <v>0</v>
      </c>
    </row>
    <row r="28" spans="2:14">
      <c r="B28" s="2">
        <v>2020</v>
      </c>
      <c r="C28" s="2" t="s">
        <v>23</v>
      </c>
      <c r="D28" s="12" t="s">
        <v>15</v>
      </c>
      <c r="E28" s="12" t="s">
        <v>15</v>
      </c>
      <c r="F28" t="s">
        <v>36</v>
      </c>
      <c r="G28" s="3">
        <v>0.11712062947257405</v>
      </c>
      <c r="H28" s="13">
        <v>578503</v>
      </c>
      <c r="I28" s="13">
        <f t="shared" si="0"/>
        <v>67754.635511772503</v>
      </c>
      <c r="K28" s="58">
        <f t="shared" si="1"/>
        <v>0</v>
      </c>
      <c r="L28" s="56"/>
      <c r="M28" s="49"/>
      <c r="N28" s="49">
        <f>M28*I28</f>
        <v>0</v>
      </c>
    </row>
    <row r="29" spans="2:14">
      <c r="B29" s="2">
        <v>2020</v>
      </c>
      <c r="C29" s="2" t="s">
        <v>23</v>
      </c>
      <c r="D29" s="12" t="s">
        <v>15</v>
      </c>
      <c r="E29" s="12" t="s">
        <v>15</v>
      </c>
      <c r="F29" t="s">
        <v>37</v>
      </c>
      <c r="G29" s="3">
        <v>0.13664073438466978</v>
      </c>
      <c r="H29" s="13">
        <v>578503</v>
      </c>
      <c r="I29" s="13">
        <f t="shared" si="0"/>
        <v>79047.074763734621</v>
      </c>
      <c r="K29" s="58">
        <f t="shared" si="1"/>
        <v>0</v>
      </c>
      <c r="L29" s="56"/>
      <c r="M29" s="49"/>
      <c r="N29" s="49">
        <f>M29*I29</f>
        <v>0</v>
      </c>
    </row>
    <row r="30" spans="2:14">
      <c r="B30" s="2">
        <v>2020</v>
      </c>
      <c r="C30" s="2" t="s">
        <v>23</v>
      </c>
      <c r="D30" s="12" t="s">
        <v>15</v>
      </c>
      <c r="E30" s="12" t="s">
        <v>15</v>
      </c>
      <c r="F30" s="9" t="s">
        <v>38</v>
      </c>
      <c r="G30" s="10">
        <v>1</v>
      </c>
      <c r="H30" s="13">
        <v>578503</v>
      </c>
      <c r="I30" s="13">
        <f t="shared" si="0"/>
        <v>578503</v>
      </c>
      <c r="J30" s="29">
        <v>99268.621953489986</v>
      </c>
      <c r="K30" s="58">
        <f t="shared" si="1"/>
        <v>5.8276521685880178</v>
      </c>
      <c r="L30" s="56"/>
      <c r="M30" s="49"/>
      <c r="N30" s="49">
        <f>M30*I30</f>
        <v>0</v>
      </c>
    </row>
    <row r="31" spans="2:14">
      <c r="B31" s="2">
        <v>2020</v>
      </c>
      <c r="C31" s="2" t="s">
        <v>24</v>
      </c>
      <c r="D31" s="12" t="s">
        <v>15</v>
      </c>
      <c r="E31" s="12" t="s">
        <v>15</v>
      </c>
      <c r="F31" t="s">
        <v>32</v>
      </c>
      <c r="G31" s="3">
        <v>0.14640078684071758</v>
      </c>
      <c r="H31" s="13">
        <v>596161</v>
      </c>
      <c r="I31" s="13">
        <f t="shared" si="0"/>
        <v>87278.43948374904</v>
      </c>
      <c r="K31" s="58">
        <f t="shared" si="1"/>
        <v>0</v>
      </c>
      <c r="L31" s="56"/>
      <c r="M31" s="49"/>
      <c r="N31" s="49">
        <f>M31*I31</f>
        <v>0</v>
      </c>
    </row>
    <row r="32" spans="2:14">
      <c r="B32" s="2">
        <v>2020</v>
      </c>
      <c r="C32" s="2" t="s">
        <v>24</v>
      </c>
      <c r="D32" s="12" t="s">
        <v>15</v>
      </c>
      <c r="E32" s="12" t="s">
        <v>15</v>
      </c>
      <c r="F32" t="s">
        <v>33</v>
      </c>
      <c r="G32" s="3">
        <v>0.10736057701652624</v>
      </c>
      <c r="H32" s="13">
        <v>596161</v>
      </c>
      <c r="I32" s="13">
        <f t="shared" si="0"/>
        <v>64004.188954749297</v>
      </c>
      <c r="K32" s="58">
        <f t="shared" si="1"/>
        <v>0</v>
      </c>
      <c r="L32" s="56"/>
      <c r="M32" s="49"/>
      <c r="N32" s="49">
        <f>M32*I32</f>
        <v>0</v>
      </c>
    </row>
    <row r="33" spans="2:14">
      <c r="B33" s="2">
        <v>2020</v>
      </c>
      <c r="C33" s="2" t="s">
        <v>24</v>
      </c>
      <c r="D33" s="12" t="s">
        <v>15</v>
      </c>
      <c r="E33" s="12" t="s">
        <v>15</v>
      </c>
      <c r="F33" t="s">
        <v>34</v>
      </c>
      <c r="G33" s="3">
        <v>0.37088199332981786</v>
      </c>
      <c r="H33" s="13">
        <v>596161</v>
      </c>
      <c r="I33" s="13">
        <f t="shared" si="0"/>
        <v>221105.38002549755</v>
      </c>
      <c r="K33" s="58">
        <f t="shared" si="1"/>
        <v>0</v>
      </c>
      <c r="L33" s="56"/>
      <c r="M33" s="49"/>
      <c r="N33" s="49">
        <f>M33*I33</f>
        <v>0</v>
      </c>
    </row>
    <row r="34" spans="2:14">
      <c r="B34" s="2">
        <v>2020</v>
      </c>
      <c r="C34" s="2" t="s">
        <v>24</v>
      </c>
      <c r="D34" s="12" t="s">
        <v>15</v>
      </c>
      <c r="E34" s="12" t="s">
        <v>15</v>
      </c>
      <c r="F34" t="s">
        <v>35</v>
      </c>
      <c r="G34" s="3">
        <v>9.7600524560478394E-2</v>
      </c>
      <c r="H34" s="13">
        <v>596161</v>
      </c>
      <c r="I34" s="13">
        <f t="shared" si="0"/>
        <v>58185.62632249936</v>
      </c>
      <c r="K34" s="58">
        <f t="shared" si="1"/>
        <v>0</v>
      </c>
      <c r="L34" s="56"/>
      <c r="M34" s="49"/>
      <c r="N34" s="49">
        <f>M34*I34</f>
        <v>0</v>
      </c>
    </row>
    <row r="35" spans="2:14">
      <c r="B35" s="2">
        <v>2020</v>
      </c>
      <c r="C35" s="2" t="s">
        <v>24</v>
      </c>
      <c r="D35" s="12" t="s">
        <v>15</v>
      </c>
      <c r="E35" s="12" t="s">
        <v>15</v>
      </c>
      <c r="F35" t="s">
        <v>36</v>
      </c>
      <c r="G35" s="3">
        <v>0.11712062947257405</v>
      </c>
      <c r="H35" s="13">
        <v>596161</v>
      </c>
      <c r="I35" s="13">
        <f t="shared" si="0"/>
        <v>69822.75158699922</v>
      </c>
      <c r="K35" s="58">
        <f t="shared" si="1"/>
        <v>0</v>
      </c>
      <c r="L35" s="56"/>
      <c r="M35" s="49"/>
      <c r="N35" s="49">
        <f>M35*I35</f>
        <v>0</v>
      </c>
    </row>
    <row r="36" spans="2:14">
      <c r="B36" s="2">
        <v>2020</v>
      </c>
      <c r="C36" s="2" t="s">
        <v>24</v>
      </c>
      <c r="D36" s="12" t="s">
        <v>15</v>
      </c>
      <c r="E36" s="12" t="s">
        <v>15</v>
      </c>
      <c r="F36" t="s">
        <v>37</v>
      </c>
      <c r="G36" s="3">
        <v>0.13664073438466978</v>
      </c>
      <c r="H36" s="13">
        <v>596161</v>
      </c>
      <c r="I36" s="13">
        <f t="shared" si="0"/>
        <v>81459.876851499124</v>
      </c>
      <c r="K36" s="58">
        <f t="shared" si="1"/>
        <v>0</v>
      </c>
      <c r="L36" s="56"/>
      <c r="M36" s="49"/>
      <c r="N36" s="49">
        <f>M36*I36</f>
        <v>0</v>
      </c>
    </row>
    <row r="37" spans="2:14">
      <c r="B37" s="2">
        <v>2020</v>
      </c>
      <c r="C37" s="2" t="s">
        <v>24</v>
      </c>
      <c r="D37" s="12" t="s">
        <v>15</v>
      </c>
      <c r="E37" s="12" t="s">
        <v>15</v>
      </c>
      <c r="F37" s="9" t="s">
        <v>38</v>
      </c>
      <c r="G37" s="10">
        <v>1</v>
      </c>
      <c r="H37" s="13">
        <v>596161</v>
      </c>
      <c r="I37" s="13">
        <f t="shared" si="0"/>
        <v>596161</v>
      </c>
      <c r="J37" s="29">
        <v>102272.56334694236</v>
      </c>
      <c r="K37" s="58">
        <f t="shared" si="1"/>
        <v>5.829139120896234</v>
      </c>
      <c r="L37" s="56"/>
      <c r="M37" s="49"/>
      <c r="N37" s="49">
        <f>M37*I37</f>
        <v>0</v>
      </c>
    </row>
    <row r="38" spans="2:14">
      <c r="B38" s="2">
        <v>2020</v>
      </c>
      <c r="C38" s="2" t="s">
        <v>25</v>
      </c>
      <c r="D38" s="12" t="s">
        <v>15</v>
      </c>
      <c r="E38" s="12" t="s">
        <v>15</v>
      </c>
      <c r="F38" t="s">
        <v>32</v>
      </c>
      <c r="G38" s="3">
        <v>0.14640078684071758</v>
      </c>
      <c r="H38" s="13">
        <v>454117</v>
      </c>
      <c r="I38" s="13">
        <f t="shared" si="0"/>
        <v>66483.086117746148</v>
      </c>
      <c r="K38" s="58">
        <f t="shared" si="1"/>
        <v>0</v>
      </c>
      <c r="L38" s="56"/>
      <c r="M38" s="49"/>
      <c r="N38" s="49">
        <f>M38*I38</f>
        <v>0</v>
      </c>
    </row>
    <row r="39" spans="2:14">
      <c r="B39" s="2">
        <v>2020</v>
      </c>
      <c r="C39" s="2" t="s">
        <v>25</v>
      </c>
      <c r="D39" s="12" t="s">
        <v>15</v>
      </c>
      <c r="E39" s="12" t="s">
        <v>15</v>
      </c>
      <c r="F39" t="s">
        <v>33</v>
      </c>
      <c r="G39" s="3">
        <v>0.10736057701652624</v>
      </c>
      <c r="H39" s="13">
        <v>454117</v>
      </c>
      <c r="I39" s="13">
        <f t="shared" si="0"/>
        <v>48754.263153013846</v>
      </c>
      <c r="K39" s="58">
        <f t="shared" si="1"/>
        <v>0</v>
      </c>
      <c r="L39" s="56"/>
      <c r="M39" s="49"/>
      <c r="N39" s="49">
        <f>M39*I39</f>
        <v>0</v>
      </c>
    </row>
    <row r="40" spans="2:14">
      <c r="B40" s="2">
        <v>2020</v>
      </c>
      <c r="C40" s="2" t="s">
        <v>25</v>
      </c>
      <c r="D40" s="12" t="s">
        <v>15</v>
      </c>
      <c r="E40" s="12" t="s">
        <v>15</v>
      </c>
      <c r="F40" t="s">
        <v>34</v>
      </c>
      <c r="G40" s="3">
        <v>0.37088199332981786</v>
      </c>
      <c r="H40" s="13">
        <v>454117</v>
      </c>
      <c r="I40" s="13">
        <f t="shared" si="0"/>
        <v>168423.8181649569</v>
      </c>
      <c r="K40" s="58">
        <f t="shared" si="1"/>
        <v>0</v>
      </c>
      <c r="L40" s="56"/>
      <c r="M40" s="49"/>
      <c r="N40" s="49">
        <f>M40*I40</f>
        <v>0</v>
      </c>
    </row>
    <row r="41" spans="2:14">
      <c r="B41" s="2">
        <v>2020</v>
      </c>
      <c r="C41" s="2" t="s">
        <v>25</v>
      </c>
      <c r="D41" s="12" t="s">
        <v>15</v>
      </c>
      <c r="E41" s="12" t="s">
        <v>15</v>
      </c>
      <c r="F41" t="s">
        <v>35</v>
      </c>
      <c r="G41" s="3">
        <v>9.7600524560478394E-2</v>
      </c>
      <c r="H41" s="13">
        <v>454117</v>
      </c>
      <c r="I41" s="13">
        <f t="shared" si="0"/>
        <v>44322.057411830763</v>
      </c>
      <c r="K41" s="58">
        <f t="shared" si="1"/>
        <v>0</v>
      </c>
      <c r="L41" s="56"/>
      <c r="M41" s="49"/>
      <c r="N41" s="49">
        <f>M41*I41</f>
        <v>0</v>
      </c>
    </row>
    <row r="42" spans="2:14">
      <c r="B42" s="2">
        <v>2020</v>
      </c>
      <c r="C42" s="2" t="s">
        <v>25</v>
      </c>
      <c r="D42" s="12" t="s">
        <v>15</v>
      </c>
      <c r="E42" s="12" t="s">
        <v>15</v>
      </c>
      <c r="F42" t="s">
        <v>36</v>
      </c>
      <c r="G42" s="3">
        <v>0.11712062947257405</v>
      </c>
      <c r="H42" s="13">
        <v>454117</v>
      </c>
      <c r="I42" s="13">
        <f t="shared" si="0"/>
        <v>53186.468894196914</v>
      </c>
      <c r="K42" s="58">
        <f t="shared" si="1"/>
        <v>0</v>
      </c>
      <c r="L42" s="56"/>
      <c r="M42" s="49"/>
      <c r="N42" s="49">
        <f>M42*I42</f>
        <v>0</v>
      </c>
    </row>
    <row r="43" spans="2:14">
      <c r="B43" s="2">
        <v>2020</v>
      </c>
      <c r="C43" s="2" t="s">
        <v>25</v>
      </c>
      <c r="D43" s="12" t="s">
        <v>15</v>
      </c>
      <c r="E43" s="12" t="s">
        <v>15</v>
      </c>
      <c r="F43" t="s">
        <v>37</v>
      </c>
      <c r="G43" s="3">
        <v>0.13664073438466978</v>
      </c>
      <c r="H43" s="13">
        <v>454117</v>
      </c>
      <c r="I43" s="13">
        <f t="shared" si="0"/>
        <v>62050.880376563087</v>
      </c>
      <c r="K43" s="58">
        <f t="shared" si="1"/>
        <v>0</v>
      </c>
      <c r="L43" s="56"/>
      <c r="M43" s="49"/>
      <c r="N43" s="49">
        <f>M43*I43</f>
        <v>0</v>
      </c>
    </row>
    <row r="44" spans="2:14">
      <c r="B44" s="2">
        <v>2020</v>
      </c>
      <c r="C44" s="2" t="s">
        <v>25</v>
      </c>
      <c r="D44" s="12" t="s">
        <v>15</v>
      </c>
      <c r="E44" s="12" t="s">
        <v>15</v>
      </c>
      <c r="F44" s="9" t="s">
        <v>38</v>
      </c>
      <c r="G44" s="10">
        <v>1</v>
      </c>
      <c r="H44" s="13">
        <v>454117</v>
      </c>
      <c r="I44" s="13">
        <f t="shared" si="0"/>
        <v>454117</v>
      </c>
      <c r="J44" s="29">
        <v>85042.579584310792</v>
      </c>
      <c r="K44" s="58">
        <f t="shared" si="1"/>
        <v>5.339878002522144</v>
      </c>
      <c r="L44" s="56"/>
      <c r="M44" s="49"/>
      <c r="N44" s="49">
        <f>M44*I44</f>
        <v>0</v>
      </c>
    </row>
    <row r="45" spans="2:14">
      <c r="B45" s="2">
        <v>2020</v>
      </c>
      <c r="C45" s="2" t="s">
        <v>26</v>
      </c>
      <c r="D45" s="12" t="s">
        <v>15</v>
      </c>
      <c r="E45" s="12" t="s">
        <v>15</v>
      </c>
      <c r="F45" t="s">
        <v>32</v>
      </c>
      <c r="G45" s="3">
        <v>0.14640078684071758</v>
      </c>
      <c r="H45" s="13">
        <v>355408</v>
      </c>
      <c r="I45" s="13">
        <f t="shared" si="0"/>
        <v>52032.010849485756</v>
      </c>
      <c r="K45" s="58">
        <f t="shared" si="1"/>
        <v>0</v>
      </c>
      <c r="L45" s="56"/>
      <c r="M45" s="49"/>
      <c r="N45" s="49">
        <f>M45*I45</f>
        <v>0</v>
      </c>
    </row>
    <row r="46" spans="2:14">
      <c r="B46" s="2">
        <v>2020</v>
      </c>
      <c r="C46" s="2" t="s">
        <v>26</v>
      </c>
      <c r="D46" s="12" t="s">
        <v>15</v>
      </c>
      <c r="E46" s="12" t="s">
        <v>15</v>
      </c>
      <c r="F46" t="s">
        <v>33</v>
      </c>
      <c r="G46" s="3">
        <v>0.10736057701652624</v>
      </c>
      <c r="H46" s="13">
        <v>355408</v>
      </c>
      <c r="I46" s="13">
        <f t="shared" si="0"/>
        <v>38156.807956289558</v>
      </c>
      <c r="K46" s="58">
        <f t="shared" si="1"/>
        <v>0</v>
      </c>
      <c r="L46" s="56"/>
      <c r="M46" s="49"/>
      <c r="N46" s="49">
        <f>M46*I46</f>
        <v>0</v>
      </c>
    </row>
    <row r="47" spans="2:14">
      <c r="B47" s="2">
        <v>2020</v>
      </c>
      <c r="C47" s="2" t="s">
        <v>26</v>
      </c>
      <c r="D47" s="12" t="s">
        <v>15</v>
      </c>
      <c r="E47" s="12" t="s">
        <v>15</v>
      </c>
      <c r="F47" t="s">
        <v>34</v>
      </c>
      <c r="G47" s="3">
        <v>0.37088199332981786</v>
      </c>
      <c r="H47" s="13">
        <v>355408</v>
      </c>
      <c r="I47" s="13">
        <f t="shared" si="0"/>
        <v>131814.42748536391</v>
      </c>
      <c r="K47" s="58">
        <f t="shared" si="1"/>
        <v>0</v>
      </c>
      <c r="L47" s="56"/>
      <c r="M47" s="49"/>
      <c r="N47" s="49">
        <f>M47*I47</f>
        <v>0</v>
      </c>
    </row>
    <row r="48" spans="2:14">
      <c r="B48" s="2">
        <v>2020</v>
      </c>
      <c r="C48" s="2" t="s">
        <v>26</v>
      </c>
      <c r="D48" s="12" t="s">
        <v>15</v>
      </c>
      <c r="E48" s="12" t="s">
        <v>15</v>
      </c>
      <c r="F48" t="s">
        <v>35</v>
      </c>
      <c r="G48" s="3">
        <v>9.7600524560478394E-2</v>
      </c>
      <c r="H48" s="13">
        <v>355408</v>
      </c>
      <c r="I48" s="13">
        <f t="shared" si="0"/>
        <v>34688.007232990502</v>
      </c>
      <c r="K48" s="58">
        <f t="shared" si="1"/>
        <v>0</v>
      </c>
      <c r="L48" s="56"/>
      <c r="M48" s="49"/>
      <c r="N48" s="49">
        <f>M48*I48</f>
        <v>0</v>
      </c>
    </row>
    <row r="49" spans="2:14">
      <c r="B49" s="2">
        <v>2020</v>
      </c>
      <c r="C49" s="2" t="s">
        <v>26</v>
      </c>
      <c r="D49" s="12" t="s">
        <v>15</v>
      </c>
      <c r="E49" s="12" t="s">
        <v>15</v>
      </c>
      <c r="F49" t="s">
        <v>36</v>
      </c>
      <c r="G49" s="3">
        <v>0.11712062947257405</v>
      </c>
      <c r="H49" s="13">
        <v>355408</v>
      </c>
      <c r="I49" s="13">
        <f t="shared" si="0"/>
        <v>41625.6086795886</v>
      </c>
      <c r="K49" s="58">
        <f t="shared" si="1"/>
        <v>0</v>
      </c>
      <c r="L49" s="56"/>
      <c r="M49" s="49"/>
      <c r="N49" s="49">
        <f>M49*I49</f>
        <v>0</v>
      </c>
    </row>
    <row r="50" spans="2:14">
      <c r="B50" s="2">
        <v>2020</v>
      </c>
      <c r="C50" s="2" t="s">
        <v>26</v>
      </c>
      <c r="D50" s="12" t="s">
        <v>15</v>
      </c>
      <c r="E50" s="12" t="s">
        <v>15</v>
      </c>
      <c r="F50" t="s">
        <v>37</v>
      </c>
      <c r="G50" s="3">
        <v>0.13664073438466978</v>
      </c>
      <c r="H50" s="13">
        <v>355408</v>
      </c>
      <c r="I50" s="13">
        <f t="shared" si="0"/>
        <v>48563.210126186721</v>
      </c>
      <c r="K50" s="58">
        <f t="shared" si="1"/>
        <v>0</v>
      </c>
      <c r="L50" s="56"/>
      <c r="M50" s="49"/>
      <c r="N50" s="49">
        <f>M50*I50</f>
        <v>0</v>
      </c>
    </row>
    <row r="51" spans="2:14">
      <c r="B51" s="2">
        <v>2020</v>
      </c>
      <c r="C51" s="2" t="s">
        <v>26</v>
      </c>
      <c r="D51" s="12" t="s">
        <v>15</v>
      </c>
      <c r="E51" s="12" t="s">
        <v>15</v>
      </c>
      <c r="F51" s="9" t="s">
        <v>38</v>
      </c>
      <c r="G51" s="10">
        <v>1</v>
      </c>
      <c r="H51" s="13">
        <v>355408</v>
      </c>
      <c r="I51" s="13">
        <f t="shared" si="0"/>
        <v>355408</v>
      </c>
      <c r="J51" s="29">
        <v>46299.405302844621</v>
      </c>
      <c r="K51" s="58">
        <f t="shared" si="1"/>
        <v>7.6762973017747127</v>
      </c>
      <c r="L51" s="56"/>
      <c r="M51" s="49"/>
      <c r="N51" s="49">
        <f>M51*I51</f>
        <v>0</v>
      </c>
    </row>
    <row r="52" spans="2:14">
      <c r="B52" s="2">
        <v>2020</v>
      </c>
      <c r="C52" s="2" t="s">
        <v>27</v>
      </c>
      <c r="D52" s="12" t="s">
        <v>15</v>
      </c>
      <c r="E52" s="12" t="s">
        <v>15</v>
      </c>
      <c r="F52" t="s">
        <v>32</v>
      </c>
      <c r="G52" s="3">
        <v>0.14640078684071758</v>
      </c>
      <c r="H52" s="13">
        <v>308730</v>
      </c>
      <c r="I52" s="13">
        <f t="shared" si="0"/>
        <v>45198.314921334742</v>
      </c>
      <c r="K52" s="58">
        <f t="shared" si="1"/>
        <v>0</v>
      </c>
      <c r="L52" s="56"/>
      <c r="M52" s="49"/>
      <c r="N52" s="49">
        <f>M52*I52</f>
        <v>0</v>
      </c>
    </row>
    <row r="53" spans="2:14">
      <c r="B53" s="2">
        <v>2020</v>
      </c>
      <c r="C53" s="2" t="s">
        <v>27</v>
      </c>
      <c r="D53" s="12" t="s">
        <v>15</v>
      </c>
      <c r="E53" s="12" t="s">
        <v>15</v>
      </c>
      <c r="F53" t="s">
        <v>33</v>
      </c>
      <c r="G53" s="3">
        <v>0.10736057701652624</v>
      </c>
      <c r="H53" s="13">
        <v>308730</v>
      </c>
      <c r="I53" s="13">
        <f t="shared" si="0"/>
        <v>33145.430942312145</v>
      </c>
      <c r="K53" s="58">
        <f t="shared" si="1"/>
        <v>0</v>
      </c>
      <c r="L53" s="56"/>
      <c r="M53" s="49"/>
      <c r="N53" s="49">
        <f>M53*I53</f>
        <v>0</v>
      </c>
    </row>
    <row r="54" spans="2:14">
      <c r="B54" s="2">
        <v>2020</v>
      </c>
      <c r="C54" s="2" t="s">
        <v>27</v>
      </c>
      <c r="D54" s="12" t="s">
        <v>15</v>
      </c>
      <c r="E54" s="12" t="s">
        <v>15</v>
      </c>
      <c r="F54" t="s">
        <v>34</v>
      </c>
      <c r="G54" s="3">
        <v>0.37088199332981786</v>
      </c>
      <c r="H54" s="13">
        <v>308730</v>
      </c>
      <c r="I54" s="13">
        <f t="shared" si="0"/>
        <v>114502.39780071467</v>
      </c>
      <c r="K54" s="58">
        <f t="shared" si="1"/>
        <v>0</v>
      </c>
      <c r="L54" s="56"/>
      <c r="M54" s="49"/>
      <c r="N54" s="49">
        <f>M54*I54</f>
        <v>0</v>
      </c>
    </row>
    <row r="55" spans="2:14">
      <c r="B55" s="2">
        <v>2020</v>
      </c>
      <c r="C55" s="2" t="s">
        <v>27</v>
      </c>
      <c r="D55" s="12" t="s">
        <v>15</v>
      </c>
      <c r="E55" s="12" t="s">
        <v>15</v>
      </c>
      <c r="F55" t="s">
        <v>35</v>
      </c>
      <c r="G55" s="3">
        <v>9.7600524560478394E-2</v>
      </c>
      <c r="H55" s="13">
        <v>308730</v>
      </c>
      <c r="I55" s="13">
        <f t="shared" si="0"/>
        <v>30132.209947556494</v>
      </c>
      <c r="K55" s="58">
        <f t="shared" si="1"/>
        <v>0</v>
      </c>
      <c r="L55" s="56"/>
      <c r="M55" s="49"/>
      <c r="N55" s="49">
        <f>M55*I55</f>
        <v>0</v>
      </c>
    </row>
    <row r="56" spans="2:14">
      <c r="B56" s="2">
        <v>2020</v>
      </c>
      <c r="C56" s="2" t="s">
        <v>27</v>
      </c>
      <c r="D56" s="12" t="s">
        <v>15</v>
      </c>
      <c r="E56" s="12" t="s">
        <v>15</v>
      </c>
      <c r="F56" t="s">
        <v>36</v>
      </c>
      <c r="G56" s="3">
        <v>0.11712062947257405</v>
      </c>
      <c r="H56" s="13">
        <v>308730</v>
      </c>
      <c r="I56" s="13">
        <f t="shared" si="0"/>
        <v>36158.651937067785</v>
      </c>
      <c r="K56" s="58">
        <f t="shared" si="1"/>
        <v>0</v>
      </c>
      <c r="L56" s="56"/>
      <c r="M56" s="49"/>
      <c r="N56" s="49">
        <f>M56*I56</f>
        <v>0</v>
      </c>
    </row>
    <row r="57" spans="2:14">
      <c r="B57" s="2">
        <v>2020</v>
      </c>
      <c r="C57" s="2" t="s">
        <v>27</v>
      </c>
      <c r="D57" s="12" t="s">
        <v>15</v>
      </c>
      <c r="E57" s="12" t="s">
        <v>15</v>
      </c>
      <c r="F57" t="s">
        <v>37</v>
      </c>
      <c r="G57" s="3">
        <v>0.13664073438466978</v>
      </c>
      <c r="H57" s="13">
        <v>308730</v>
      </c>
      <c r="I57" s="13">
        <f t="shared" si="0"/>
        <v>42185.093926579102</v>
      </c>
      <c r="K57" s="58">
        <f t="shared" si="1"/>
        <v>0</v>
      </c>
      <c r="L57" s="56"/>
      <c r="M57" s="49"/>
      <c r="N57" s="49">
        <f>M57*I57</f>
        <v>0</v>
      </c>
    </row>
    <row r="58" spans="2:14">
      <c r="B58" s="2">
        <v>2020</v>
      </c>
      <c r="C58" s="2" t="s">
        <v>27</v>
      </c>
      <c r="D58" s="12" t="s">
        <v>15</v>
      </c>
      <c r="E58" s="12" t="s">
        <v>15</v>
      </c>
      <c r="F58" s="9" t="s">
        <v>38</v>
      </c>
      <c r="G58" s="10">
        <v>1</v>
      </c>
      <c r="H58" s="13">
        <v>308730</v>
      </c>
      <c r="I58" s="13">
        <f t="shared" si="0"/>
        <v>308730</v>
      </c>
      <c r="J58" s="29">
        <v>41544.649239949875</v>
      </c>
      <c r="K58" s="58">
        <f t="shared" si="1"/>
        <v>7.4312819014758036</v>
      </c>
      <c r="L58" s="56"/>
      <c r="M58" s="49"/>
      <c r="N58" s="49">
        <f>M58*I58</f>
        <v>0</v>
      </c>
    </row>
    <row r="59" spans="2:14">
      <c r="B59" s="2">
        <v>2020</v>
      </c>
      <c r="C59" s="2" t="s">
        <v>28</v>
      </c>
      <c r="D59" s="12" t="s">
        <v>15</v>
      </c>
      <c r="E59" s="12" t="s">
        <v>15</v>
      </c>
      <c r="F59" t="s">
        <v>32</v>
      </c>
      <c r="G59" s="3">
        <v>0.14640078684071758</v>
      </c>
      <c r="H59" s="13">
        <v>498346</v>
      </c>
      <c r="I59" s="13">
        <f t="shared" si="0"/>
        <v>72958.24651892425</v>
      </c>
      <c r="K59" s="58">
        <f t="shared" si="1"/>
        <v>0</v>
      </c>
      <c r="L59" s="56"/>
      <c r="M59" s="49"/>
      <c r="N59" s="49">
        <f>M59*I59</f>
        <v>0</v>
      </c>
    </row>
    <row r="60" spans="2:14">
      <c r="B60" s="2">
        <v>2020</v>
      </c>
      <c r="C60" s="2" t="s">
        <v>28</v>
      </c>
      <c r="D60" s="12" t="s">
        <v>15</v>
      </c>
      <c r="E60" s="12" t="s">
        <v>15</v>
      </c>
      <c r="F60" t="s">
        <v>33</v>
      </c>
      <c r="G60" s="3">
        <v>0.10736057701652624</v>
      </c>
      <c r="H60" s="13">
        <v>498346</v>
      </c>
      <c r="I60" s="13">
        <f t="shared" si="0"/>
        <v>53502.714113877788</v>
      </c>
      <c r="K60" s="58">
        <f t="shared" si="1"/>
        <v>0</v>
      </c>
      <c r="L60" s="56"/>
      <c r="M60" s="49"/>
      <c r="N60" s="49">
        <f>M60*I60</f>
        <v>0</v>
      </c>
    </row>
    <row r="61" spans="2:14">
      <c r="B61" s="2">
        <v>2020</v>
      </c>
      <c r="C61" s="2" t="s">
        <v>28</v>
      </c>
      <c r="D61" s="12" t="s">
        <v>15</v>
      </c>
      <c r="E61" s="12" t="s">
        <v>15</v>
      </c>
      <c r="F61" t="s">
        <v>34</v>
      </c>
      <c r="G61" s="3">
        <v>0.37088199332981786</v>
      </c>
      <c r="H61" s="13">
        <v>498346</v>
      </c>
      <c r="I61" s="13">
        <f t="shared" si="0"/>
        <v>184827.55784794141</v>
      </c>
      <c r="K61" s="58">
        <f t="shared" si="1"/>
        <v>0</v>
      </c>
      <c r="L61" s="56"/>
      <c r="M61" s="49"/>
      <c r="N61" s="49">
        <f>M61*I61</f>
        <v>0</v>
      </c>
    </row>
    <row r="62" spans="2:14">
      <c r="B62" s="2">
        <v>2020</v>
      </c>
      <c r="C62" s="2" t="s">
        <v>28</v>
      </c>
      <c r="D62" s="12" t="s">
        <v>15</v>
      </c>
      <c r="E62" s="12" t="s">
        <v>15</v>
      </c>
      <c r="F62" t="s">
        <v>35</v>
      </c>
      <c r="G62" s="3">
        <v>9.7600524560478394E-2</v>
      </c>
      <c r="H62" s="13">
        <v>498346</v>
      </c>
      <c r="I62" s="13">
        <f t="shared" si="0"/>
        <v>48638.831012616167</v>
      </c>
      <c r="K62" s="58">
        <f t="shared" si="1"/>
        <v>0</v>
      </c>
      <c r="L62" s="56"/>
      <c r="M62" s="49"/>
      <c r="N62" s="49">
        <f>M62*I62</f>
        <v>0</v>
      </c>
    </row>
    <row r="63" spans="2:14">
      <c r="B63" s="2">
        <v>2020</v>
      </c>
      <c r="C63" s="2" t="s">
        <v>28</v>
      </c>
      <c r="D63" s="12" t="s">
        <v>15</v>
      </c>
      <c r="E63" s="12" t="s">
        <v>15</v>
      </c>
      <c r="F63" t="s">
        <v>36</v>
      </c>
      <c r="G63" s="3">
        <v>0.11712062947257405</v>
      </c>
      <c r="H63" s="13">
        <v>498346</v>
      </c>
      <c r="I63" s="13">
        <f t="shared" si="0"/>
        <v>58366.597215139387</v>
      </c>
      <c r="K63" s="58">
        <f t="shared" si="1"/>
        <v>0</v>
      </c>
      <c r="L63" s="56"/>
      <c r="M63" s="49"/>
      <c r="N63" s="49">
        <f>M63*I63</f>
        <v>0</v>
      </c>
    </row>
    <row r="64" spans="2:14">
      <c r="B64" s="2">
        <v>2020</v>
      </c>
      <c r="C64" s="2" t="s">
        <v>28</v>
      </c>
      <c r="D64" s="12" t="s">
        <v>15</v>
      </c>
      <c r="E64" s="12" t="s">
        <v>15</v>
      </c>
      <c r="F64" t="s">
        <v>37</v>
      </c>
      <c r="G64" s="3">
        <v>0.13664073438466978</v>
      </c>
      <c r="H64" s="13">
        <v>498346</v>
      </c>
      <c r="I64" s="13">
        <f t="shared" si="0"/>
        <v>68094.363417662651</v>
      </c>
      <c r="K64" s="58">
        <f t="shared" si="1"/>
        <v>0</v>
      </c>
      <c r="L64" s="56"/>
      <c r="M64" s="49"/>
      <c r="N64" s="49">
        <f>M64*I64</f>
        <v>0</v>
      </c>
    </row>
    <row r="65" spans="2:14">
      <c r="B65" s="2">
        <v>2020</v>
      </c>
      <c r="C65" s="2" t="s">
        <v>28</v>
      </c>
      <c r="D65" s="12" t="s">
        <v>15</v>
      </c>
      <c r="E65" s="12" t="s">
        <v>15</v>
      </c>
      <c r="F65" s="9" t="s">
        <v>38</v>
      </c>
      <c r="G65" s="10">
        <v>1</v>
      </c>
      <c r="H65" s="13">
        <v>498346</v>
      </c>
      <c r="I65" s="13">
        <f t="shared" si="0"/>
        <v>498346</v>
      </c>
      <c r="J65" s="29">
        <v>88998.918360049123</v>
      </c>
      <c r="K65" s="58">
        <f t="shared" si="1"/>
        <v>5.5994613101242292</v>
      </c>
      <c r="L65" s="56"/>
      <c r="M65" s="49"/>
      <c r="N65" s="49">
        <f>M65*I65</f>
        <v>0</v>
      </c>
    </row>
    <row r="66" spans="2:14">
      <c r="B66" s="2">
        <v>2020</v>
      </c>
      <c r="C66" s="2" t="s">
        <v>29</v>
      </c>
      <c r="D66" s="12" t="s">
        <v>15</v>
      </c>
      <c r="E66" s="12" t="s">
        <v>15</v>
      </c>
      <c r="F66" t="s">
        <v>32</v>
      </c>
      <c r="G66" s="3">
        <v>0.14640078684071758</v>
      </c>
      <c r="H66" s="13">
        <v>564814</v>
      </c>
      <c r="I66" s="13">
        <f t="shared" si="0"/>
        <v>82689.21401865306</v>
      </c>
      <c r="K66" s="58">
        <f t="shared" si="1"/>
        <v>0</v>
      </c>
      <c r="L66" s="56"/>
      <c r="M66" s="49"/>
      <c r="N66" s="49">
        <f>M66*I66</f>
        <v>0</v>
      </c>
    </row>
    <row r="67" spans="2:14">
      <c r="B67" s="2">
        <v>2020</v>
      </c>
      <c r="C67" s="2" t="s">
        <v>29</v>
      </c>
      <c r="D67" s="12" t="s">
        <v>15</v>
      </c>
      <c r="E67" s="12" t="s">
        <v>15</v>
      </c>
      <c r="F67" t="s">
        <v>33</v>
      </c>
      <c r="G67" s="3">
        <v>0.10736057701652624</v>
      </c>
      <c r="H67" s="13">
        <v>564814</v>
      </c>
      <c r="I67" s="13">
        <f t="shared" ref="I67:I130" si="2">G67*H67</f>
        <v>60638.756947012247</v>
      </c>
      <c r="K67" s="58">
        <f t="shared" si="1"/>
        <v>0</v>
      </c>
      <c r="L67" s="56"/>
      <c r="M67" s="49"/>
      <c r="N67" s="49">
        <f>M67*I67</f>
        <v>0</v>
      </c>
    </row>
    <row r="68" spans="2:14">
      <c r="B68" s="2">
        <v>2020</v>
      </c>
      <c r="C68" s="2" t="s">
        <v>29</v>
      </c>
      <c r="D68" s="12" t="s">
        <v>15</v>
      </c>
      <c r="E68" s="12" t="s">
        <v>15</v>
      </c>
      <c r="F68" t="s">
        <v>34</v>
      </c>
      <c r="G68" s="3">
        <v>0.37088199332981786</v>
      </c>
      <c r="H68" s="13">
        <v>564814</v>
      </c>
      <c r="I68" s="13">
        <f t="shared" si="2"/>
        <v>209479.34218058776</v>
      </c>
      <c r="K68" s="58">
        <f t="shared" ref="K68:K131" si="3">IFERROR(I68/J68,0)</f>
        <v>0</v>
      </c>
      <c r="L68" s="56"/>
      <c r="M68" s="49"/>
      <c r="N68" s="49">
        <f>M68*I68</f>
        <v>0</v>
      </c>
    </row>
    <row r="69" spans="2:14">
      <c r="B69" s="2">
        <v>2020</v>
      </c>
      <c r="C69" s="2" t="s">
        <v>29</v>
      </c>
      <c r="D69" s="12" t="s">
        <v>15</v>
      </c>
      <c r="E69" s="12" t="s">
        <v>15</v>
      </c>
      <c r="F69" t="s">
        <v>35</v>
      </c>
      <c r="G69" s="3">
        <v>9.7600524560478394E-2</v>
      </c>
      <c r="H69" s="13">
        <v>564814</v>
      </c>
      <c r="I69" s="13">
        <f t="shared" si="2"/>
        <v>55126.142679102042</v>
      </c>
      <c r="K69" s="58">
        <f t="shared" si="3"/>
        <v>0</v>
      </c>
      <c r="L69" s="56"/>
      <c r="M69" s="49"/>
      <c r="N69" s="49">
        <f>M69*I69</f>
        <v>0</v>
      </c>
    </row>
    <row r="70" spans="2:14">
      <c r="B70" s="2">
        <v>2020</v>
      </c>
      <c r="C70" s="2" t="s">
        <v>29</v>
      </c>
      <c r="D70" s="12" t="s">
        <v>15</v>
      </c>
      <c r="E70" s="12" t="s">
        <v>15</v>
      </c>
      <c r="F70" t="s">
        <v>36</v>
      </c>
      <c r="G70" s="3">
        <v>0.11712062947257405</v>
      </c>
      <c r="H70" s="13">
        <v>564814</v>
      </c>
      <c r="I70" s="13">
        <f t="shared" si="2"/>
        <v>66151.371214922445</v>
      </c>
      <c r="K70" s="58">
        <f t="shared" si="3"/>
        <v>0</v>
      </c>
      <c r="L70" s="56"/>
      <c r="M70" s="49"/>
      <c r="N70" s="49">
        <f>M70*I70</f>
        <v>0</v>
      </c>
    </row>
    <row r="71" spans="2:14">
      <c r="B71" s="2">
        <v>2020</v>
      </c>
      <c r="C71" s="2" t="s">
        <v>29</v>
      </c>
      <c r="D71" s="12" t="s">
        <v>15</v>
      </c>
      <c r="E71" s="12" t="s">
        <v>15</v>
      </c>
      <c r="F71" t="s">
        <v>37</v>
      </c>
      <c r="G71" s="3">
        <v>0.13664073438466978</v>
      </c>
      <c r="H71" s="13">
        <v>564814</v>
      </c>
      <c r="I71" s="13">
        <f t="shared" si="2"/>
        <v>77176.599750742884</v>
      </c>
      <c r="K71" s="58">
        <f t="shared" si="3"/>
        <v>0</v>
      </c>
      <c r="L71" s="56"/>
      <c r="M71" s="49"/>
      <c r="N71" s="49">
        <f>M71*I71</f>
        <v>0</v>
      </c>
    </row>
    <row r="72" spans="2:14">
      <c r="B72" s="2">
        <v>2020</v>
      </c>
      <c r="C72" s="2" t="s">
        <v>29</v>
      </c>
      <c r="D72" s="12" t="s">
        <v>15</v>
      </c>
      <c r="E72" s="12" t="s">
        <v>15</v>
      </c>
      <c r="F72" s="9" t="s">
        <v>38</v>
      </c>
      <c r="G72" s="10">
        <v>1</v>
      </c>
      <c r="H72" s="13">
        <v>564814</v>
      </c>
      <c r="I72" s="13">
        <f t="shared" si="2"/>
        <v>564814</v>
      </c>
      <c r="J72" s="29">
        <v>96721.78993865916</v>
      </c>
      <c r="K72" s="58">
        <f t="shared" si="3"/>
        <v>5.8395734855424442</v>
      </c>
      <c r="L72" s="56"/>
      <c r="M72" s="49"/>
      <c r="N72" s="49">
        <f>M72*I72</f>
        <v>0</v>
      </c>
    </row>
    <row r="73" spans="2:14">
      <c r="B73" s="2">
        <v>2020</v>
      </c>
      <c r="C73" s="2" t="s">
        <v>30</v>
      </c>
      <c r="D73" s="12" t="s">
        <v>15</v>
      </c>
      <c r="E73" s="12" t="s">
        <v>15</v>
      </c>
      <c r="F73" t="s">
        <v>32</v>
      </c>
      <c r="G73" s="3">
        <v>0.14640078684071758</v>
      </c>
      <c r="H73" s="13">
        <v>565232</v>
      </c>
      <c r="I73" s="13">
        <f t="shared" si="2"/>
        <v>82750.409547552481</v>
      </c>
      <c r="K73" s="58">
        <f t="shared" si="3"/>
        <v>0</v>
      </c>
      <c r="L73" s="56"/>
      <c r="M73" s="49"/>
      <c r="N73" s="49">
        <f>M73*I73</f>
        <v>0</v>
      </c>
    </row>
    <row r="74" spans="2:14">
      <c r="B74" s="2">
        <v>2020</v>
      </c>
      <c r="C74" s="2" t="s">
        <v>30</v>
      </c>
      <c r="D74" s="12" t="s">
        <v>15</v>
      </c>
      <c r="E74" s="12" t="s">
        <v>15</v>
      </c>
      <c r="F74" t="s">
        <v>33</v>
      </c>
      <c r="G74" s="3">
        <v>0.10736057701652624</v>
      </c>
      <c r="H74" s="13">
        <v>565232</v>
      </c>
      <c r="I74" s="13">
        <f t="shared" si="2"/>
        <v>60683.633668205155</v>
      </c>
      <c r="K74" s="58">
        <f t="shared" si="3"/>
        <v>0</v>
      </c>
      <c r="L74" s="56"/>
      <c r="M74" s="49"/>
      <c r="N74" s="49">
        <f>M74*I74</f>
        <v>0</v>
      </c>
    </row>
    <row r="75" spans="2:14">
      <c r="B75" s="2">
        <v>2020</v>
      </c>
      <c r="C75" s="2" t="s">
        <v>30</v>
      </c>
      <c r="D75" s="12" t="s">
        <v>15</v>
      </c>
      <c r="E75" s="12" t="s">
        <v>15</v>
      </c>
      <c r="F75" t="s">
        <v>34</v>
      </c>
      <c r="G75" s="3">
        <v>0.37088199332981786</v>
      </c>
      <c r="H75" s="13">
        <v>565232</v>
      </c>
      <c r="I75" s="13">
        <f t="shared" si="2"/>
        <v>209634.3708537996</v>
      </c>
      <c r="K75" s="58">
        <f t="shared" si="3"/>
        <v>0</v>
      </c>
      <c r="L75" s="56"/>
      <c r="M75" s="49"/>
      <c r="N75" s="49">
        <f>M75*I75</f>
        <v>0</v>
      </c>
    </row>
    <row r="76" spans="2:14">
      <c r="B76" s="2">
        <v>2020</v>
      </c>
      <c r="C76" s="2" t="s">
        <v>30</v>
      </c>
      <c r="D76" s="12" t="s">
        <v>15</v>
      </c>
      <c r="E76" s="12" t="s">
        <v>15</v>
      </c>
      <c r="F76" t="s">
        <v>35</v>
      </c>
      <c r="G76" s="3">
        <v>9.7600524560478394E-2</v>
      </c>
      <c r="H76" s="13">
        <v>565232</v>
      </c>
      <c r="I76" s="13">
        <f t="shared" si="2"/>
        <v>55166.939698368325</v>
      </c>
      <c r="K76" s="58">
        <f t="shared" si="3"/>
        <v>0</v>
      </c>
      <c r="L76" s="56"/>
      <c r="M76" s="49"/>
      <c r="N76" s="49">
        <f>M76*I76</f>
        <v>0</v>
      </c>
    </row>
    <row r="77" spans="2:14">
      <c r="B77" s="2">
        <v>2020</v>
      </c>
      <c r="C77" s="2" t="s">
        <v>30</v>
      </c>
      <c r="D77" s="12" t="s">
        <v>15</v>
      </c>
      <c r="E77" s="12" t="s">
        <v>15</v>
      </c>
      <c r="F77" t="s">
        <v>36</v>
      </c>
      <c r="G77" s="3">
        <v>0.11712062947257405</v>
      </c>
      <c r="H77" s="13">
        <v>565232</v>
      </c>
      <c r="I77" s="13">
        <f t="shared" si="2"/>
        <v>66200.32763804197</v>
      </c>
      <c r="K77" s="58">
        <f t="shared" si="3"/>
        <v>0</v>
      </c>
      <c r="L77" s="56"/>
      <c r="M77" s="49"/>
      <c r="N77" s="49">
        <f>M77*I77</f>
        <v>0</v>
      </c>
    </row>
    <row r="78" spans="2:14">
      <c r="B78" s="2">
        <v>2020</v>
      </c>
      <c r="C78" s="2" t="s">
        <v>30</v>
      </c>
      <c r="D78" s="12" t="s">
        <v>15</v>
      </c>
      <c r="E78" s="12" t="s">
        <v>15</v>
      </c>
      <c r="F78" t="s">
        <v>37</v>
      </c>
      <c r="G78" s="3">
        <v>0.13664073438466978</v>
      </c>
      <c r="H78" s="13">
        <v>565232</v>
      </c>
      <c r="I78" s="13">
        <f t="shared" si="2"/>
        <v>77233.715577715673</v>
      </c>
      <c r="K78" s="58">
        <f t="shared" si="3"/>
        <v>0</v>
      </c>
      <c r="L78" s="56"/>
      <c r="M78" s="49"/>
      <c r="N78" s="49">
        <f>M78*I78</f>
        <v>0</v>
      </c>
    </row>
    <row r="79" spans="2:14">
      <c r="B79" s="2">
        <v>2020</v>
      </c>
      <c r="C79" s="2" t="s">
        <v>30</v>
      </c>
      <c r="D79" s="12" t="s">
        <v>15</v>
      </c>
      <c r="E79" s="12" t="s">
        <v>15</v>
      </c>
      <c r="F79" s="9" t="s">
        <v>38</v>
      </c>
      <c r="G79" s="10">
        <v>1</v>
      </c>
      <c r="H79" s="13">
        <v>565232</v>
      </c>
      <c r="I79" s="13">
        <f t="shared" si="2"/>
        <v>565232</v>
      </c>
      <c r="J79" s="29">
        <v>96643.387844172947</v>
      </c>
      <c r="K79" s="58">
        <f t="shared" si="3"/>
        <v>5.8486360278612723</v>
      </c>
      <c r="L79" s="56"/>
      <c r="M79" s="49"/>
      <c r="N79" s="49">
        <f>M79*I79</f>
        <v>0</v>
      </c>
    </row>
    <row r="80" spans="2:14">
      <c r="B80" s="2">
        <v>2020</v>
      </c>
      <c r="C80" s="2" t="s">
        <v>31</v>
      </c>
      <c r="D80" s="12" t="s">
        <v>15</v>
      </c>
      <c r="E80" s="12" t="s">
        <v>15</v>
      </c>
      <c r="F80" t="s">
        <v>32</v>
      </c>
      <c r="G80" s="3">
        <v>0.14640078684071758</v>
      </c>
      <c r="H80" s="13">
        <v>517991</v>
      </c>
      <c r="I80" s="13">
        <f t="shared" si="2"/>
        <v>75834.289976410146</v>
      </c>
      <c r="K80" s="58">
        <f t="shared" si="3"/>
        <v>0</v>
      </c>
      <c r="L80" s="56"/>
      <c r="M80" s="49"/>
      <c r="N80" s="49">
        <f>M80*I80</f>
        <v>0</v>
      </c>
    </row>
    <row r="81" spans="2:14">
      <c r="B81" s="2">
        <v>2020</v>
      </c>
      <c r="C81" s="2" t="s">
        <v>31</v>
      </c>
      <c r="D81" s="12" t="s">
        <v>15</v>
      </c>
      <c r="E81" s="12" t="s">
        <v>15</v>
      </c>
      <c r="F81" t="s">
        <v>33</v>
      </c>
      <c r="G81" s="3">
        <v>0.10736057701652624</v>
      </c>
      <c r="H81" s="13">
        <v>517991</v>
      </c>
      <c r="I81" s="13">
        <f t="shared" si="2"/>
        <v>55611.812649367443</v>
      </c>
      <c r="K81" s="58">
        <f t="shared" si="3"/>
        <v>0</v>
      </c>
      <c r="L81" s="56"/>
      <c r="M81" s="49"/>
      <c r="N81" s="49">
        <f>M81*I81</f>
        <v>0</v>
      </c>
    </row>
    <row r="82" spans="2:14">
      <c r="B82" s="2">
        <v>2020</v>
      </c>
      <c r="C82" s="2" t="s">
        <v>31</v>
      </c>
      <c r="D82" s="12" t="s">
        <v>15</v>
      </c>
      <c r="E82" s="12" t="s">
        <v>15</v>
      </c>
      <c r="F82" t="s">
        <v>34</v>
      </c>
      <c r="G82" s="3">
        <v>0.37088199332981786</v>
      </c>
      <c r="H82" s="13">
        <v>517991</v>
      </c>
      <c r="I82" s="13">
        <f t="shared" si="2"/>
        <v>192113.53460690568</v>
      </c>
      <c r="K82" s="58">
        <f t="shared" si="3"/>
        <v>0</v>
      </c>
      <c r="L82" s="56"/>
      <c r="M82" s="49"/>
      <c r="N82" s="49">
        <f>M82*I82</f>
        <v>0</v>
      </c>
    </row>
    <row r="83" spans="2:14">
      <c r="B83" s="2">
        <v>2020</v>
      </c>
      <c r="C83" s="2" t="s">
        <v>31</v>
      </c>
      <c r="D83" s="12" t="s">
        <v>15</v>
      </c>
      <c r="E83" s="12" t="s">
        <v>15</v>
      </c>
      <c r="F83" t="s">
        <v>35</v>
      </c>
      <c r="G83" s="3">
        <v>9.7600524560478394E-2</v>
      </c>
      <c r="H83" s="13">
        <v>517991</v>
      </c>
      <c r="I83" s="13">
        <f t="shared" si="2"/>
        <v>50556.193317606761</v>
      </c>
      <c r="K83" s="58">
        <f t="shared" si="3"/>
        <v>0</v>
      </c>
      <c r="L83" s="56"/>
      <c r="M83" s="49"/>
      <c r="N83" s="49">
        <f>M83*I83</f>
        <v>0</v>
      </c>
    </row>
    <row r="84" spans="2:14">
      <c r="B84" s="2">
        <v>2020</v>
      </c>
      <c r="C84" s="2" t="s">
        <v>31</v>
      </c>
      <c r="D84" s="12" t="s">
        <v>15</v>
      </c>
      <c r="E84" s="12" t="s">
        <v>15</v>
      </c>
      <c r="F84" t="s">
        <v>36</v>
      </c>
      <c r="G84" s="3">
        <v>0.11712062947257405</v>
      </c>
      <c r="H84" s="13">
        <v>517991</v>
      </c>
      <c r="I84" s="13">
        <f t="shared" si="2"/>
        <v>60667.431981128109</v>
      </c>
      <c r="K84" s="58">
        <f t="shared" si="3"/>
        <v>0</v>
      </c>
      <c r="L84" s="56"/>
      <c r="M84" s="49"/>
      <c r="N84" s="49">
        <f>M84*I84</f>
        <v>0</v>
      </c>
    </row>
    <row r="85" spans="2:14">
      <c r="B85" s="2">
        <v>2020</v>
      </c>
      <c r="C85" s="2" t="s">
        <v>31</v>
      </c>
      <c r="D85" s="12" t="s">
        <v>15</v>
      </c>
      <c r="E85" s="12" t="s">
        <v>15</v>
      </c>
      <c r="F85" t="s">
        <v>37</v>
      </c>
      <c r="G85" s="3">
        <v>0.13664073438466978</v>
      </c>
      <c r="H85" s="13">
        <v>517991</v>
      </c>
      <c r="I85" s="13">
        <f t="shared" si="2"/>
        <v>70778.670644649479</v>
      </c>
      <c r="K85" s="58">
        <f t="shared" si="3"/>
        <v>0</v>
      </c>
      <c r="L85" s="56"/>
      <c r="M85" s="49"/>
      <c r="N85" s="49">
        <f>M85*I85</f>
        <v>0</v>
      </c>
    </row>
    <row r="86" spans="2:14">
      <c r="B86" s="2">
        <v>2020</v>
      </c>
      <c r="C86" s="2" t="s">
        <v>31</v>
      </c>
      <c r="D86" s="12" t="s">
        <v>15</v>
      </c>
      <c r="E86" s="12" t="s">
        <v>15</v>
      </c>
      <c r="F86" s="9" t="s">
        <v>38</v>
      </c>
      <c r="G86" s="10">
        <v>1</v>
      </c>
      <c r="H86" s="13">
        <v>517991</v>
      </c>
      <c r="I86" s="13">
        <f t="shared" si="2"/>
        <v>517991</v>
      </c>
      <c r="J86" s="29">
        <v>97699.797266842113</v>
      </c>
      <c r="K86" s="58">
        <f t="shared" si="3"/>
        <v>5.3018636117047357</v>
      </c>
      <c r="L86" s="56"/>
      <c r="M86" s="49"/>
      <c r="N86" s="49">
        <f>M86*I86</f>
        <v>0</v>
      </c>
    </row>
    <row r="87" spans="2:14">
      <c r="B87" s="2">
        <v>2020</v>
      </c>
      <c r="C87" s="2" t="s">
        <v>14</v>
      </c>
      <c r="D87" s="12" t="s">
        <v>15</v>
      </c>
      <c r="E87" s="12" t="s">
        <v>15</v>
      </c>
      <c r="F87" t="s">
        <v>32</v>
      </c>
      <c r="G87" s="3">
        <v>0.14640078684071758</v>
      </c>
      <c r="H87" s="13">
        <v>639960</v>
      </c>
      <c r="I87" s="13">
        <f t="shared" si="2"/>
        <v>93690.64754658562</v>
      </c>
      <c r="K87" s="58">
        <f t="shared" si="3"/>
        <v>0</v>
      </c>
      <c r="L87" s="56"/>
      <c r="M87" s="49"/>
      <c r="N87" s="49">
        <f>M87*I87</f>
        <v>0</v>
      </c>
    </row>
    <row r="88" spans="2:14">
      <c r="B88" s="2">
        <v>2020</v>
      </c>
      <c r="C88" s="2" t="s">
        <v>14</v>
      </c>
      <c r="D88" s="12" t="s">
        <v>15</v>
      </c>
      <c r="E88" s="12" t="s">
        <v>15</v>
      </c>
      <c r="F88" t="s">
        <v>33</v>
      </c>
      <c r="G88" s="3">
        <v>0.10736057701652624</v>
      </c>
      <c r="H88" s="13">
        <v>639960</v>
      </c>
      <c r="I88" s="13">
        <f t="shared" si="2"/>
        <v>68706.47486749613</v>
      </c>
      <c r="K88" s="58">
        <f t="shared" si="3"/>
        <v>0</v>
      </c>
      <c r="L88" s="56"/>
      <c r="M88" s="49"/>
      <c r="N88" s="49">
        <f>M88*I88</f>
        <v>0</v>
      </c>
    </row>
    <row r="89" spans="2:14">
      <c r="B89" s="2">
        <v>2020</v>
      </c>
      <c r="C89" s="2" t="s">
        <v>14</v>
      </c>
      <c r="D89" s="12" t="s">
        <v>15</v>
      </c>
      <c r="E89" s="12" t="s">
        <v>15</v>
      </c>
      <c r="F89" t="s">
        <v>34</v>
      </c>
      <c r="G89" s="3">
        <v>0.37088199332981786</v>
      </c>
      <c r="H89" s="13">
        <v>639960</v>
      </c>
      <c r="I89" s="13">
        <f t="shared" si="2"/>
        <v>237349.64045135025</v>
      </c>
      <c r="K89" s="58">
        <f t="shared" si="3"/>
        <v>0</v>
      </c>
      <c r="L89" s="56"/>
      <c r="M89" s="49"/>
      <c r="N89" s="49">
        <f>M89*I89</f>
        <v>0</v>
      </c>
    </row>
    <row r="90" spans="2:14">
      <c r="B90" s="2">
        <v>2020</v>
      </c>
      <c r="C90" s="2" t="s">
        <v>14</v>
      </c>
      <c r="D90" s="12" t="s">
        <v>15</v>
      </c>
      <c r="E90" s="12" t="s">
        <v>15</v>
      </c>
      <c r="F90" t="s">
        <v>35</v>
      </c>
      <c r="G90" s="3">
        <v>9.7600524560478394E-2</v>
      </c>
      <c r="H90" s="13">
        <v>639960</v>
      </c>
      <c r="I90" s="13">
        <f t="shared" si="2"/>
        <v>62460.431697723754</v>
      </c>
      <c r="K90" s="58">
        <f t="shared" si="3"/>
        <v>0</v>
      </c>
      <c r="L90" s="56"/>
      <c r="M90" s="49"/>
      <c r="N90" s="49">
        <f>M90*I90</f>
        <v>0</v>
      </c>
    </row>
    <row r="91" spans="2:14">
      <c r="B91" s="2">
        <v>2020</v>
      </c>
      <c r="C91" s="2" t="s">
        <v>14</v>
      </c>
      <c r="D91" s="12" t="s">
        <v>15</v>
      </c>
      <c r="E91" s="12" t="s">
        <v>15</v>
      </c>
      <c r="F91" t="s">
        <v>36</v>
      </c>
      <c r="G91" s="3">
        <v>0.11712062947257405</v>
      </c>
      <c r="H91" s="13">
        <v>639960</v>
      </c>
      <c r="I91" s="13">
        <f t="shared" si="2"/>
        <v>74952.518037268484</v>
      </c>
      <c r="K91" s="58">
        <f t="shared" si="3"/>
        <v>0</v>
      </c>
      <c r="L91" s="56"/>
      <c r="M91" s="49"/>
      <c r="N91" s="49">
        <f>M91*I91</f>
        <v>0</v>
      </c>
    </row>
    <row r="92" spans="2:14">
      <c r="B92" s="2">
        <v>2020</v>
      </c>
      <c r="C92" s="2" t="s">
        <v>14</v>
      </c>
      <c r="D92" s="12" t="s">
        <v>15</v>
      </c>
      <c r="E92" s="12" t="s">
        <v>15</v>
      </c>
      <c r="F92" t="s">
        <v>37</v>
      </c>
      <c r="G92" s="3">
        <v>0.13664073438466978</v>
      </c>
      <c r="H92" s="13">
        <v>639960</v>
      </c>
      <c r="I92" s="13">
        <f t="shared" si="2"/>
        <v>87444.60437681328</v>
      </c>
      <c r="K92" s="58">
        <f t="shared" si="3"/>
        <v>0</v>
      </c>
      <c r="L92" s="56"/>
      <c r="M92" s="49"/>
      <c r="N92" s="49">
        <f>M92*I92</f>
        <v>0</v>
      </c>
    </row>
    <row r="93" spans="2:14">
      <c r="B93" s="2">
        <v>2020</v>
      </c>
      <c r="C93" s="2" t="s">
        <v>14</v>
      </c>
      <c r="D93" s="12" t="s">
        <v>15</v>
      </c>
      <c r="E93" s="12" t="s">
        <v>15</v>
      </c>
      <c r="F93" s="9" t="s">
        <v>38</v>
      </c>
      <c r="G93" s="10">
        <v>1</v>
      </c>
      <c r="H93" s="13">
        <v>639960</v>
      </c>
      <c r="I93" s="13">
        <f t="shared" si="2"/>
        <v>639960</v>
      </c>
      <c r="J93" s="29">
        <v>106622.47957944863</v>
      </c>
      <c r="K93" s="58">
        <f t="shared" si="3"/>
        <v>6.0021113983110892</v>
      </c>
      <c r="L93" s="56"/>
      <c r="M93" s="49"/>
      <c r="N93" s="49">
        <f>M93*I93</f>
        <v>0</v>
      </c>
    </row>
    <row r="94" spans="2:14">
      <c r="B94" s="2">
        <v>2020</v>
      </c>
      <c r="C94" s="2" t="s">
        <v>21</v>
      </c>
      <c r="D94" s="12" t="s">
        <v>15</v>
      </c>
      <c r="E94" s="12" t="s">
        <v>15</v>
      </c>
      <c r="F94" t="s">
        <v>32</v>
      </c>
      <c r="G94" s="3">
        <v>0.14640078684071758</v>
      </c>
      <c r="H94" s="13">
        <v>619680</v>
      </c>
      <c r="I94" s="13">
        <f t="shared" si="2"/>
        <v>90721.639589455866</v>
      </c>
      <c r="K94" s="58">
        <f t="shared" si="3"/>
        <v>0</v>
      </c>
      <c r="L94" s="56"/>
      <c r="M94" s="49"/>
      <c r="N94" s="49">
        <f>M94*I94</f>
        <v>0</v>
      </c>
    </row>
    <row r="95" spans="2:14">
      <c r="B95" s="2">
        <v>2020</v>
      </c>
      <c r="C95" s="2" t="s">
        <v>21</v>
      </c>
      <c r="D95" s="12" t="s">
        <v>15</v>
      </c>
      <c r="E95" s="12" t="s">
        <v>15</v>
      </c>
      <c r="F95" t="s">
        <v>33</v>
      </c>
      <c r="G95" s="3">
        <v>0.10736057701652624</v>
      </c>
      <c r="H95" s="13">
        <v>619680</v>
      </c>
      <c r="I95" s="13">
        <f t="shared" si="2"/>
        <v>66529.202365600984</v>
      </c>
      <c r="K95" s="58">
        <f t="shared" si="3"/>
        <v>0</v>
      </c>
      <c r="L95" s="56"/>
      <c r="M95" s="49"/>
      <c r="N95" s="49">
        <f>M95*I95</f>
        <v>0</v>
      </c>
    </row>
    <row r="96" spans="2:14">
      <c r="B96" s="2">
        <v>2020</v>
      </c>
      <c r="C96" s="2" t="s">
        <v>21</v>
      </c>
      <c r="D96" s="12" t="s">
        <v>15</v>
      </c>
      <c r="E96" s="12" t="s">
        <v>15</v>
      </c>
      <c r="F96" t="s">
        <v>34</v>
      </c>
      <c r="G96" s="3">
        <v>0.37088199332981786</v>
      </c>
      <c r="H96" s="13">
        <v>619680</v>
      </c>
      <c r="I96" s="13">
        <f t="shared" si="2"/>
        <v>229828.15362662153</v>
      </c>
      <c r="K96" s="58">
        <f t="shared" si="3"/>
        <v>0</v>
      </c>
      <c r="L96" s="56"/>
      <c r="M96" s="49"/>
      <c r="N96" s="49">
        <f>M96*I96</f>
        <v>0</v>
      </c>
    </row>
    <row r="97" spans="2:14">
      <c r="B97" s="2">
        <v>2020</v>
      </c>
      <c r="C97" s="2" t="s">
        <v>21</v>
      </c>
      <c r="D97" s="12" t="s">
        <v>15</v>
      </c>
      <c r="E97" s="12" t="s">
        <v>15</v>
      </c>
      <c r="F97" t="s">
        <v>35</v>
      </c>
      <c r="G97" s="3">
        <v>9.7600524560478394E-2</v>
      </c>
      <c r="H97" s="13">
        <v>619680</v>
      </c>
      <c r="I97" s="13">
        <f t="shared" si="2"/>
        <v>60481.093059637249</v>
      </c>
      <c r="K97" s="58">
        <f t="shared" si="3"/>
        <v>0</v>
      </c>
      <c r="L97" s="56"/>
      <c r="M97" s="49"/>
      <c r="N97" s="49">
        <f>M97*I97</f>
        <v>0</v>
      </c>
    </row>
    <row r="98" spans="2:14">
      <c r="B98" s="2">
        <v>2020</v>
      </c>
      <c r="C98" s="2" t="s">
        <v>21</v>
      </c>
      <c r="D98" s="12" t="s">
        <v>15</v>
      </c>
      <c r="E98" s="12" t="s">
        <v>15</v>
      </c>
      <c r="F98" t="s">
        <v>36</v>
      </c>
      <c r="G98" s="3">
        <v>0.11712062947257405</v>
      </c>
      <c r="H98" s="13">
        <v>619680</v>
      </c>
      <c r="I98" s="13">
        <f t="shared" si="2"/>
        <v>72577.31167156469</v>
      </c>
      <c r="K98" s="58">
        <f t="shared" si="3"/>
        <v>0</v>
      </c>
      <c r="L98" s="56"/>
      <c r="M98" s="49"/>
      <c r="N98" s="49">
        <f>M98*I98</f>
        <v>0</v>
      </c>
    </row>
    <row r="99" spans="2:14">
      <c r="B99" s="2">
        <v>2020</v>
      </c>
      <c r="C99" s="2" t="s">
        <v>21</v>
      </c>
      <c r="D99" s="12" t="s">
        <v>15</v>
      </c>
      <c r="E99" s="12" t="s">
        <v>15</v>
      </c>
      <c r="F99" t="s">
        <v>37</v>
      </c>
      <c r="G99" s="3">
        <v>0.13664073438466978</v>
      </c>
      <c r="H99" s="13">
        <v>619680</v>
      </c>
      <c r="I99" s="13">
        <f t="shared" si="2"/>
        <v>84673.530283492175</v>
      </c>
      <c r="K99" s="58">
        <f t="shared" si="3"/>
        <v>0</v>
      </c>
      <c r="L99" s="56"/>
      <c r="M99" s="49"/>
      <c r="N99" s="49">
        <f>M99*I99</f>
        <v>0</v>
      </c>
    </row>
    <row r="100" spans="2:14">
      <c r="B100" s="2">
        <v>2020</v>
      </c>
      <c r="C100" s="2" t="s">
        <v>21</v>
      </c>
      <c r="D100" s="12" t="s">
        <v>15</v>
      </c>
      <c r="E100" s="12" t="s">
        <v>15</v>
      </c>
      <c r="F100" s="9" t="s">
        <v>38</v>
      </c>
      <c r="G100" s="10">
        <v>1</v>
      </c>
      <c r="H100" s="13">
        <v>619680</v>
      </c>
      <c r="I100" s="13">
        <f t="shared" si="2"/>
        <v>619680</v>
      </c>
      <c r="J100" s="29">
        <v>102342.7837245168</v>
      </c>
      <c r="K100" s="58">
        <f t="shared" si="3"/>
        <v>6.054945717208903</v>
      </c>
      <c r="L100" s="56"/>
      <c r="M100" s="49"/>
      <c r="N100" s="49">
        <f>M100*I100</f>
        <v>0</v>
      </c>
    </row>
    <row r="101" spans="2:14">
      <c r="B101" s="2">
        <v>2020</v>
      </c>
      <c r="C101" s="2" t="s">
        <v>22</v>
      </c>
      <c r="D101" s="12" t="s">
        <v>15</v>
      </c>
      <c r="E101" s="12" t="s">
        <v>15</v>
      </c>
      <c r="F101" t="s">
        <v>32</v>
      </c>
      <c r="G101" s="3">
        <v>0.14640078684071758</v>
      </c>
      <c r="H101" s="13">
        <v>595996</v>
      </c>
      <c r="I101" s="13">
        <f t="shared" si="2"/>
        <v>87254.283353920313</v>
      </c>
      <c r="K101" s="58">
        <f t="shared" si="3"/>
        <v>0</v>
      </c>
      <c r="L101" s="56"/>
      <c r="M101" s="49"/>
      <c r="N101" s="49">
        <f>M101*I101</f>
        <v>0</v>
      </c>
    </row>
    <row r="102" spans="2:14">
      <c r="B102" s="2">
        <v>2020</v>
      </c>
      <c r="C102" s="2" t="s">
        <v>22</v>
      </c>
      <c r="D102" s="12" t="s">
        <v>15</v>
      </c>
      <c r="E102" s="12" t="s">
        <v>15</v>
      </c>
      <c r="F102" t="s">
        <v>33</v>
      </c>
      <c r="G102" s="3">
        <v>0.10736057701652624</v>
      </c>
      <c r="H102" s="13">
        <v>595996</v>
      </c>
      <c r="I102" s="13">
        <f t="shared" si="2"/>
        <v>63986.474459541569</v>
      </c>
      <c r="K102" s="58">
        <f t="shared" si="3"/>
        <v>0</v>
      </c>
      <c r="L102" s="56"/>
      <c r="M102" s="49"/>
      <c r="N102" s="49">
        <f>M102*I102</f>
        <v>0</v>
      </c>
    </row>
    <row r="103" spans="2:14">
      <c r="B103" s="2">
        <v>2020</v>
      </c>
      <c r="C103" s="2" t="s">
        <v>22</v>
      </c>
      <c r="D103" s="12" t="s">
        <v>15</v>
      </c>
      <c r="E103" s="12" t="s">
        <v>15</v>
      </c>
      <c r="F103" t="s">
        <v>34</v>
      </c>
      <c r="G103" s="3">
        <v>0.37088199332981786</v>
      </c>
      <c r="H103" s="13">
        <v>595996</v>
      </c>
      <c r="I103" s="13">
        <f t="shared" si="2"/>
        <v>221044.18449659811</v>
      </c>
      <c r="K103" s="58">
        <f t="shared" si="3"/>
        <v>0</v>
      </c>
      <c r="L103" s="56"/>
      <c r="M103" s="49"/>
      <c r="N103" s="49">
        <f>M103*I103</f>
        <v>0</v>
      </c>
    </row>
    <row r="104" spans="2:14">
      <c r="B104" s="2">
        <v>2020</v>
      </c>
      <c r="C104" s="2" t="s">
        <v>22</v>
      </c>
      <c r="D104" s="12" t="s">
        <v>15</v>
      </c>
      <c r="E104" s="12" t="s">
        <v>15</v>
      </c>
      <c r="F104" t="s">
        <v>35</v>
      </c>
      <c r="G104" s="3">
        <v>9.7600524560478394E-2</v>
      </c>
      <c r="H104" s="13">
        <v>595996</v>
      </c>
      <c r="I104" s="13">
        <f t="shared" si="2"/>
        <v>58169.522235946883</v>
      </c>
      <c r="K104" s="58">
        <f t="shared" si="3"/>
        <v>0</v>
      </c>
      <c r="L104" s="56"/>
      <c r="M104" s="49"/>
      <c r="N104" s="49">
        <f>M104*I104</f>
        <v>0</v>
      </c>
    </row>
    <row r="105" spans="2:14">
      <c r="B105" s="2">
        <v>2020</v>
      </c>
      <c r="C105" s="2" t="s">
        <v>22</v>
      </c>
      <c r="D105" s="12" t="s">
        <v>15</v>
      </c>
      <c r="E105" s="12" t="s">
        <v>15</v>
      </c>
      <c r="F105" t="s">
        <v>36</v>
      </c>
      <c r="G105" s="3">
        <v>0.11712062947257405</v>
      </c>
      <c r="H105" s="13">
        <v>595996</v>
      </c>
      <c r="I105" s="13">
        <f t="shared" si="2"/>
        <v>69803.426683136247</v>
      </c>
      <c r="K105" s="58">
        <f t="shared" si="3"/>
        <v>0</v>
      </c>
      <c r="L105" s="56"/>
      <c r="M105" s="49"/>
      <c r="N105" s="49">
        <f>M105*I105</f>
        <v>0</v>
      </c>
    </row>
    <row r="106" spans="2:14">
      <c r="B106" s="2">
        <v>2020</v>
      </c>
      <c r="C106" s="2" t="s">
        <v>22</v>
      </c>
      <c r="D106" s="12" t="s">
        <v>15</v>
      </c>
      <c r="E106" s="12" t="s">
        <v>15</v>
      </c>
      <c r="F106" t="s">
        <v>37</v>
      </c>
      <c r="G106" s="3">
        <v>0.13664073438466978</v>
      </c>
      <c r="H106" s="13">
        <v>595996</v>
      </c>
      <c r="I106" s="13">
        <f t="shared" si="2"/>
        <v>81437.331130325649</v>
      </c>
      <c r="K106" s="58">
        <f t="shared" si="3"/>
        <v>0</v>
      </c>
      <c r="L106" s="56"/>
      <c r="M106" s="49"/>
      <c r="N106" s="49">
        <f>M106*I106</f>
        <v>0</v>
      </c>
    </row>
    <row r="107" spans="2:14">
      <c r="B107" s="2">
        <v>2021</v>
      </c>
      <c r="C107" s="2" t="s">
        <v>22</v>
      </c>
      <c r="D107" s="12" t="s">
        <v>15</v>
      </c>
      <c r="E107" s="12" t="s">
        <v>15</v>
      </c>
      <c r="F107" s="9" t="s">
        <v>38</v>
      </c>
      <c r="G107" s="10">
        <v>1</v>
      </c>
      <c r="H107" s="13">
        <v>595996</v>
      </c>
      <c r="I107" s="13">
        <f t="shared" si="2"/>
        <v>595996</v>
      </c>
      <c r="J107" s="29">
        <v>99891.931130925615</v>
      </c>
      <c r="K107" s="58">
        <f t="shared" si="3"/>
        <v>5.9664078294656688</v>
      </c>
      <c r="L107" s="56"/>
      <c r="M107" s="49"/>
      <c r="N107" s="49">
        <f>M107*I107</f>
        <v>0</v>
      </c>
    </row>
    <row r="108" spans="2:14">
      <c r="B108" s="2">
        <v>2021</v>
      </c>
      <c r="C108" s="2" t="s">
        <v>23</v>
      </c>
      <c r="D108" s="12" t="s">
        <v>15</v>
      </c>
      <c r="E108" s="12" t="s">
        <v>15</v>
      </c>
      <c r="F108" t="s">
        <v>32</v>
      </c>
      <c r="G108" s="3">
        <v>0.14640078684071758</v>
      </c>
      <c r="H108" s="13">
        <v>592264</v>
      </c>
      <c r="I108" s="13">
        <f t="shared" si="2"/>
        <v>86707.915617430757</v>
      </c>
      <c r="K108" s="58">
        <f t="shared" si="3"/>
        <v>0</v>
      </c>
      <c r="L108" s="56"/>
      <c r="M108" s="49"/>
      <c r="N108" s="49">
        <f>M108*I108</f>
        <v>0</v>
      </c>
    </row>
    <row r="109" spans="2:14">
      <c r="B109" s="2">
        <v>2021</v>
      </c>
      <c r="C109" s="2" t="s">
        <v>23</v>
      </c>
      <c r="D109" s="12" t="s">
        <v>15</v>
      </c>
      <c r="E109" s="12" t="s">
        <v>15</v>
      </c>
      <c r="F109" t="s">
        <v>33</v>
      </c>
      <c r="G109" s="3">
        <v>0.10736057701652624</v>
      </c>
      <c r="H109" s="13">
        <v>592264</v>
      </c>
      <c r="I109" s="13">
        <f t="shared" si="2"/>
        <v>63585.804786115892</v>
      </c>
      <c r="K109" s="58">
        <f t="shared" si="3"/>
        <v>0</v>
      </c>
      <c r="L109" s="56"/>
      <c r="M109" s="49"/>
      <c r="N109" s="49">
        <f>M109*I109</f>
        <v>0</v>
      </c>
    </row>
    <row r="110" spans="2:14">
      <c r="B110" s="2">
        <v>2021</v>
      </c>
      <c r="C110" s="2" t="s">
        <v>23</v>
      </c>
      <c r="D110" s="12" t="s">
        <v>15</v>
      </c>
      <c r="E110" s="12" t="s">
        <v>15</v>
      </c>
      <c r="F110" t="s">
        <v>34</v>
      </c>
      <c r="G110" s="3">
        <v>0.37088199332981786</v>
      </c>
      <c r="H110" s="13">
        <v>592264</v>
      </c>
      <c r="I110" s="13">
        <f t="shared" si="2"/>
        <v>219660.05289749126</v>
      </c>
      <c r="K110" s="58">
        <f t="shared" si="3"/>
        <v>0</v>
      </c>
      <c r="L110" s="56"/>
      <c r="M110" s="49"/>
      <c r="N110" s="49">
        <f>M110*I110</f>
        <v>0</v>
      </c>
    </row>
    <row r="111" spans="2:14">
      <c r="B111" s="2">
        <v>2021</v>
      </c>
      <c r="C111" s="2" t="s">
        <v>23</v>
      </c>
      <c r="D111" s="12" t="s">
        <v>15</v>
      </c>
      <c r="E111" s="12" t="s">
        <v>15</v>
      </c>
      <c r="F111" t="s">
        <v>35</v>
      </c>
      <c r="G111" s="3">
        <v>9.7600524560478394E-2</v>
      </c>
      <c r="H111" s="13">
        <v>592264</v>
      </c>
      <c r="I111" s="13">
        <f t="shared" si="2"/>
        <v>57805.277078287174</v>
      </c>
      <c r="K111" s="58">
        <f t="shared" si="3"/>
        <v>0</v>
      </c>
      <c r="L111" s="56"/>
      <c r="M111" s="49"/>
      <c r="N111" s="49">
        <f>M111*I111</f>
        <v>0</v>
      </c>
    </row>
    <row r="112" spans="2:14">
      <c r="B112" s="2">
        <v>2021</v>
      </c>
      <c r="C112" s="2" t="s">
        <v>23</v>
      </c>
      <c r="D112" s="12" t="s">
        <v>15</v>
      </c>
      <c r="E112" s="12" t="s">
        <v>15</v>
      </c>
      <c r="F112" t="s">
        <v>36</v>
      </c>
      <c r="G112" s="3">
        <v>0.11712062947257405</v>
      </c>
      <c r="H112" s="13">
        <v>592264</v>
      </c>
      <c r="I112" s="13">
        <f t="shared" si="2"/>
        <v>69366.332493944603</v>
      </c>
      <c r="K112" s="58">
        <f t="shared" si="3"/>
        <v>0</v>
      </c>
      <c r="L112" s="56"/>
      <c r="M112" s="49"/>
      <c r="N112" s="49">
        <f>M112*I112</f>
        <v>0</v>
      </c>
    </row>
    <row r="113" spans="2:14">
      <c r="B113" s="2">
        <v>2021</v>
      </c>
      <c r="C113" s="2" t="s">
        <v>23</v>
      </c>
      <c r="D113" s="12" t="s">
        <v>15</v>
      </c>
      <c r="E113" s="12" t="s">
        <v>15</v>
      </c>
      <c r="F113" t="s">
        <v>37</v>
      </c>
      <c r="G113" s="3">
        <v>0.13664073438466978</v>
      </c>
      <c r="H113" s="13">
        <v>592264</v>
      </c>
      <c r="I113" s="13">
        <f t="shared" si="2"/>
        <v>80927.387909602068</v>
      </c>
      <c r="K113" s="58">
        <f t="shared" si="3"/>
        <v>0</v>
      </c>
      <c r="L113" s="56"/>
      <c r="M113" s="49"/>
      <c r="N113" s="49">
        <f>M113*I113</f>
        <v>0</v>
      </c>
    </row>
    <row r="114" spans="2:14">
      <c r="B114" s="2">
        <v>2021</v>
      </c>
      <c r="C114" s="2" t="s">
        <v>23</v>
      </c>
      <c r="D114" s="12" t="s">
        <v>15</v>
      </c>
      <c r="E114" s="12" t="s">
        <v>15</v>
      </c>
      <c r="F114" s="9" t="s">
        <v>38</v>
      </c>
      <c r="G114" s="10">
        <v>1</v>
      </c>
      <c r="H114" s="13">
        <v>592264</v>
      </c>
      <c r="I114" s="13">
        <f t="shared" si="2"/>
        <v>592264</v>
      </c>
      <c r="J114" s="29">
        <v>108060.95733771489</v>
      </c>
      <c r="K114" s="58">
        <f t="shared" si="3"/>
        <v>5.4808324356135518</v>
      </c>
      <c r="L114" s="56"/>
      <c r="M114" s="49"/>
      <c r="N114" s="49">
        <f>M114*I114</f>
        <v>0</v>
      </c>
    </row>
    <row r="115" spans="2:14">
      <c r="B115" s="2">
        <v>2021</v>
      </c>
      <c r="C115" s="2" t="s">
        <v>24</v>
      </c>
      <c r="D115" s="12" t="s">
        <v>15</v>
      </c>
      <c r="E115" s="12" t="s">
        <v>15</v>
      </c>
      <c r="F115" t="s">
        <v>32</v>
      </c>
      <c r="G115" s="3">
        <v>0.14640078684071758</v>
      </c>
      <c r="H115" s="13">
        <v>545960</v>
      </c>
      <c r="I115" s="13">
        <f t="shared" si="2"/>
        <v>79928.973583558167</v>
      </c>
      <c r="K115" s="58">
        <f t="shared" si="3"/>
        <v>0</v>
      </c>
      <c r="L115" s="56"/>
      <c r="M115" s="49"/>
      <c r="N115" s="49">
        <f>M115*I115</f>
        <v>0</v>
      </c>
    </row>
    <row r="116" spans="2:14">
      <c r="B116" s="2">
        <v>2021</v>
      </c>
      <c r="C116" s="2" t="s">
        <v>24</v>
      </c>
      <c r="D116" s="12" t="s">
        <v>15</v>
      </c>
      <c r="E116" s="12" t="s">
        <v>15</v>
      </c>
      <c r="F116" t="s">
        <v>33</v>
      </c>
      <c r="G116" s="3">
        <v>0.10736057701652624</v>
      </c>
      <c r="H116" s="13">
        <v>545960</v>
      </c>
      <c r="I116" s="13">
        <f t="shared" si="2"/>
        <v>58614.580627942662</v>
      </c>
      <c r="K116" s="58">
        <f t="shared" si="3"/>
        <v>0</v>
      </c>
      <c r="L116" s="56"/>
      <c r="M116" s="49"/>
      <c r="N116" s="49">
        <f>M116*I116</f>
        <v>0</v>
      </c>
    </row>
    <row r="117" spans="2:14">
      <c r="B117" s="2">
        <v>2021</v>
      </c>
      <c r="C117" s="2" t="s">
        <v>24</v>
      </c>
      <c r="D117" s="12" t="s">
        <v>15</v>
      </c>
      <c r="E117" s="12" t="s">
        <v>15</v>
      </c>
      <c r="F117" t="s">
        <v>34</v>
      </c>
      <c r="G117" s="3">
        <v>0.37088199332981786</v>
      </c>
      <c r="H117" s="13">
        <v>545960</v>
      </c>
      <c r="I117" s="13">
        <f t="shared" si="2"/>
        <v>202486.73307834737</v>
      </c>
      <c r="K117" s="58">
        <f t="shared" si="3"/>
        <v>0</v>
      </c>
      <c r="L117" s="56"/>
      <c r="M117" s="49"/>
      <c r="N117" s="49">
        <f>M117*I117</f>
        <v>0</v>
      </c>
    </row>
    <row r="118" spans="2:14">
      <c r="B118" s="2">
        <v>2021</v>
      </c>
      <c r="C118" s="2" t="s">
        <v>24</v>
      </c>
      <c r="D118" s="12" t="s">
        <v>15</v>
      </c>
      <c r="E118" s="12" t="s">
        <v>15</v>
      </c>
      <c r="F118" t="s">
        <v>35</v>
      </c>
      <c r="G118" s="3">
        <v>9.7600524560478394E-2</v>
      </c>
      <c r="H118" s="13">
        <v>545960</v>
      </c>
      <c r="I118" s="13">
        <f t="shared" si="2"/>
        <v>53285.982389038785</v>
      </c>
      <c r="K118" s="58">
        <f t="shared" si="3"/>
        <v>0</v>
      </c>
      <c r="L118" s="56"/>
      <c r="M118" s="49"/>
      <c r="N118" s="49">
        <f>M118*I118</f>
        <v>0</v>
      </c>
    </row>
    <row r="119" spans="2:14">
      <c r="B119" s="2">
        <v>2021</v>
      </c>
      <c r="C119" s="2" t="s">
        <v>24</v>
      </c>
      <c r="D119" s="12" t="s">
        <v>15</v>
      </c>
      <c r="E119" s="12" t="s">
        <v>15</v>
      </c>
      <c r="F119" t="s">
        <v>36</v>
      </c>
      <c r="G119" s="3">
        <v>0.11712062947257405</v>
      </c>
      <c r="H119" s="13">
        <v>545960</v>
      </c>
      <c r="I119" s="13">
        <f t="shared" si="2"/>
        <v>63943.178866846531</v>
      </c>
      <c r="K119" s="58">
        <f t="shared" si="3"/>
        <v>0</v>
      </c>
      <c r="L119" s="56"/>
      <c r="M119" s="49"/>
      <c r="N119" s="49">
        <f>M119*I119</f>
        <v>0</v>
      </c>
    </row>
    <row r="120" spans="2:14">
      <c r="B120" s="2">
        <v>2021</v>
      </c>
      <c r="C120" s="2" t="s">
        <v>24</v>
      </c>
      <c r="D120" s="12" t="s">
        <v>15</v>
      </c>
      <c r="E120" s="12" t="s">
        <v>15</v>
      </c>
      <c r="F120" t="s">
        <v>37</v>
      </c>
      <c r="G120" s="3">
        <v>0.13664073438466978</v>
      </c>
      <c r="H120" s="13">
        <v>545960</v>
      </c>
      <c r="I120" s="13">
        <f t="shared" si="2"/>
        <v>74600.375344654312</v>
      </c>
      <c r="K120" s="58">
        <f t="shared" si="3"/>
        <v>0</v>
      </c>
      <c r="L120" s="56"/>
      <c r="M120" s="49"/>
      <c r="N120" s="49">
        <f>M120*I120</f>
        <v>0</v>
      </c>
    </row>
    <row r="121" spans="2:14">
      <c r="B121" s="2">
        <v>2021</v>
      </c>
      <c r="C121" s="2" t="s">
        <v>24</v>
      </c>
      <c r="D121" s="12" t="s">
        <v>15</v>
      </c>
      <c r="E121" s="12" t="s">
        <v>15</v>
      </c>
      <c r="F121" s="9" t="s">
        <v>38</v>
      </c>
      <c r="G121" s="10">
        <v>1</v>
      </c>
      <c r="H121" s="13">
        <v>545960</v>
      </c>
      <c r="I121" s="13">
        <f t="shared" si="2"/>
        <v>545960</v>
      </c>
      <c r="J121" s="29">
        <v>98385.724429360722</v>
      </c>
      <c r="K121" s="58">
        <f t="shared" si="3"/>
        <v>5.5491790416402331</v>
      </c>
      <c r="L121" s="56"/>
      <c r="M121" s="49"/>
      <c r="N121" s="49">
        <f>M121*I121</f>
        <v>0</v>
      </c>
    </row>
    <row r="122" spans="2:14">
      <c r="B122" s="2">
        <v>2021</v>
      </c>
      <c r="C122" s="2" t="s">
        <v>25</v>
      </c>
      <c r="D122" s="12" t="s">
        <v>15</v>
      </c>
      <c r="E122" s="12" t="s">
        <v>15</v>
      </c>
      <c r="F122" t="s">
        <v>32</v>
      </c>
      <c r="G122" s="3">
        <v>0.14640078684071758</v>
      </c>
      <c r="H122" s="13">
        <v>619475</v>
      </c>
      <c r="I122" s="13">
        <f t="shared" si="2"/>
        <v>90691.62742815353</v>
      </c>
      <c r="K122" s="58">
        <f t="shared" si="3"/>
        <v>0</v>
      </c>
      <c r="L122" s="56"/>
      <c r="M122" s="49"/>
      <c r="N122" s="49">
        <f>M122*I122</f>
        <v>0</v>
      </c>
    </row>
    <row r="123" spans="2:14">
      <c r="B123" s="2">
        <v>2021</v>
      </c>
      <c r="C123" s="2" t="s">
        <v>25</v>
      </c>
      <c r="D123" s="12" t="s">
        <v>15</v>
      </c>
      <c r="E123" s="12" t="s">
        <v>15</v>
      </c>
      <c r="F123" t="s">
        <v>33</v>
      </c>
      <c r="G123" s="3">
        <v>0.10736057701652624</v>
      </c>
      <c r="H123" s="13">
        <v>619475</v>
      </c>
      <c r="I123" s="13">
        <f t="shared" si="2"/>
        <v>66507.193447312588</v>
      </c>
      <c r="K123" s="58">
        <f t="shared" si="3"/>
        <v>0</v>
      </c>
      <c r="L123" s="56"/>
      <c r="M123" s="49"/>
      <c r="N123" s="49">
        <f>M123*I123</f>
        <v>0</v>
      </c>
    </row>
    <row r="124" spans="2:14">
      <c r="B124" s="2">
        <v>2021</v>
      </c>
      <c r="C124" s="2" t="s">
        <v>25</v>
      </c>
      <c r="D124" s="12" t="s">
        <v>15</v>
      </c>
      <c r="E124" s="12" t="s">
        <v>15</v>
      </c>
      <c r="F124" t="s">
        <v>34</v>
      </c>
      <c r="G124" s="3">
        <v>0.37088199332981786</v>
      </c>
      <c r="H124" s="13">
        <v>619475</v>
      </c>
      <c r="I124" s="13">
        <f t="shared" si="2"/>
        <v>229752.12281798891</v>
      </c>
      <c r="K124" s="58">
        <f t="shared" si="3"/>
        <v>0</v>
      </c>
      <c r="L124" s="56"/>
      <c r="M124" s="49"/>
      <c r="N124" s="49">
        <f>M124*I124</f>
        <v>0</v>
      </c>
    </row>
    <row r="125" spans="2:14">
      <c r="B125" s="2">
        <v>2021</v>
      </c>
      <c r="C125" s="2" t="s">
        <v>25</v>
      </c>
      <c r="D125" s="12" t="s">
        <v>15</v>
      </c>
      <c r="E125" s="12" t="s">
        <v>15</v>
      </c>
      <c r="F125" t="s">
        <v>35</v>
      </c>
      <c r="G125" s="3">
        <v>9.7600524560478394E-2</v>
      </c>
      <c r="H125" s="13">
        <v>619475</v>
      </c>
      <c r="I125" s="13">
        <f t="shared" si="2"/>
        <v>60461.084952102356</v>
      </c>
      <c r="K125" s="58">
        <f t="shared" si="3"/>
        <v>0</v>
      </c>
      <c r="L125" s="56"/>
      <c r="M125" s="49"/>
      <c r="N125" s="49">
        <f>M125*I125</f>
        <v>0</v>
      </c>
    </row>
    <row r="126" spans="2:14">
      <c r="B126" s="2">
        <v>2021</v>
      </c>
      <c r="C126" s="2" t="s">
        <v>25</v>
      </c>
      <c r="D126" s="12" t="s">
        <v>15</v>
      </c>
      <c r="E126" s="12" t="s">
        <v>15</v>
      </c>
      <c r="F126" t="s">
        <v>36</v>
      </c>
      <c r="G126" s="3">
        <v>0.11712062947257405</v>
      </c>
      <c r="H126" s="13">
        <v>619475</v>
      </c>
      <c r="I126" s="13">
        <f t="shared" si="2"/>
        <v>72553.301942522812</v>
      </c>
      <c r="K126" s="58">
        <f t="shared" si="3"/>
        <v>0</v>
      </c>
      <c r="L126" s="56"/>
      <c r="M126" s="49"/>
      <c r="N126" s="49">
        <f>M126*I126</f>
        <v>0</v>
      </c>
    </row>
    <row r="127" spans="2:14">
      <c r="B127" s="2">
        <v>2021</v>
      </c>
      <c r="C127" s="2" t="s">
        <v>25</v>
      </c>
      <c r="D127" s="12" t="s">
        <v>15</v>
      </c>
      <c r="E127" s="12" t="s">
        <v>15</v>
      </c>
      <c r="F127" t="s">
        <v>37</v>
      </c>
      <c r="G127" s="3">
        <v>0.13664073438466978</v>
      </c>
      <c r="H127" s="13">
        <v>619475</v>
      </c>
      <c r="I127" s="13">
        <f t="shared" si="2"/>
        <v>84645.51893294332</v>
      </c>
      <c r="K127" s="58">
        <f t="shared" si="3"/>
        <v>0</v>
      </c>
      <c r="L127" s="56"/>
      <c r="M127" s="49"/>
      <c r="N127" s="49">
        <f>M127*I127</f>
        <v>0</v>
      </c>
    </row>
    <row r="128" spans="2:14">
      <c r="B128" s="2">
        <v>2021</v>
      </c>
      <c r="C128" s="2" t="s">
        <v>25</v>
      </c>
      <c r="D128" s="12" t="s">
        <v>15</v>
      </c>
      <c r="E128" s="12" t="s">
        <v>15</v>
      </c>
      <c r="F128" s="9" t="s">
        <v>38</v>
      </c>
      <c r="G128" s="10">
        <v>1</v>
      </c>
      <c r="H128" s="13">
        <v>619475</v>
      </c>
      <c r="I128" s="13">
        <f t="shared" si="2"/>
        <v>619475</v>
      </c>
      <c r="J128" s="29">
        <v>114508.86639064872</v>
      </c>
      <c r="K128" s="58">
        <f t="shared" si="3"/>
        <v>5.4098430936050992</v>
      </c>
      <c r="L128" s="56"/>
      <c r="M128" s="49"/>
      <c r="N128" s="49">
        <f>M128*I128</f>
        <v>0</v>
      </c>
    </row>
    <row r="129" spans="2:14">
      <c r="B129" s="2">
        <v>2021</v>
      </c>
      <c r="C129" s="2" t="s">
        <v>26</v>
      </c>
      <c r="D129" s="12" t="s">
        <v>15</v>
      </c>
      <c r="E129" s="12" t="s">
        <v>15</v>
      </c>
      <c r="F129" t="s">
        <v>32</v>
      </c>
      <c r="G129" s="3">
        <v>0.14640078684071758</v>
      </c>
      <c r="H129" s="13">
        <v>512777</v>
      </c>
      <c r="I129" s="13">
        <f t="shared" si="2"/>
        <v>75070.956273822638</v>
      </c>
      <c r="K129" s="58">
        <f t="shared" si="3"/>
        <v>0</v>
      </c>
      <c r="L129" s="56"/>
      <c r="M129" s="49"/>
      <c r="N129" s="49">
        <f>M129*I129</f>
        <v>0</v>
      </c>
    </row>
    <row r="130" spans="2:14">
      <c r="B130" s="2">
        <v>2021</v>
      </c>
      <c r="C130" s="2" t="s">
        <v>26</v>
      </c>
      <c r="D130" s="12" t="s">
        <v>15</v>
      </c>
      <c r="E130" s="12" t="s">
        <v>15</v>
      </c>
      <c r="F130" t="s">
        <v>33</v>
      </c>
      <c r="G130" s="3">
        <v>0.10736057701652624</v>
      </c>
      <c r="H130" s="13">
        <v>512777</v>
      </c>
      <c r="I130" s="13">
        <f t="shared" si="2"/>
        <v>55052.034600803272</v>
      </c>
      <c r="K130" s="58">
        <f t="shared" si="3"/>
        <v>0</v>
      </c>
      <c r="L130" s="56"/>
      <c r="M130" s="49"/>
      <c r="N130" s="49">
        <f>M130*I130</f>
        <v>0</v>
      </c>
    </row>
    <row r="131" spans="2:14">
      <c r="B131" s="2">
        <v>2021</v>
      </c>
      <c r="C131" s="2" t="s">
        <v>26</v>
      </c>
      <c r="D131" s="12" t="s">
        <v>15</v>
      </c>
      <c r="E131" s="12" t="s">
        <v>15</v>
      </c>
      <c r="F131" t="s">
        <v>34</v>
      </c>
      <c r="G131" s="3">
        <v>0.37088199332981786</v>
      </c>
      <c r="H131" s="13">
        <v>512777</v>
      </c>
      <c r="I131" s="13">
        <f t="shared" ref="I131:I194" si="4">G131*H131</f>
        <v>190179.75589368402</v>
      </c>
      <c r="K131" s="58">
        <f t="shared" si="3"/>
        <v>0</v>
      </c>
      <c r="L131" s="56"/>
      <c r="M131" s="49"/>
      <c r="N131" s="49">
        <f>M131*I131</f>
        <v>0</v>
      </c>
    </row>
    <row r="132" spans="2:14">
      <c r="B132" s="2">
        <v>2021</v>
      </c>
      <c r="C132" s="2" t="s">
        <v>26</v>
      </c>
      <c r="D132" s="12" t="s">
        <v>15</v>
      </c>
      <c r="E132" s="12" t="s">
        <v>15</v>
      </c>
      <c r="F132" t="s">
        <v>35</v>
      </c>
      <c r="G132" s="3">
        <v>9.7600524560478394E-2</v>
      </c>
      <c r="H132" s="13">
        <v>512777</v>
      </c>
      <c r="I132" s="13">
        <f t="shared" si="4"/>
        <v>50047.304182548432</v>
      </c>
      <c r="K132" s="58">
        <f t="shared" ref="K132:K195" si="5">IFERROR(I132/J132,0)</f>
        <v>0</v>
      </c>
      <c r="L132" s="56"/>
      <c r="M132" s="49"/>
      <c r="N132" s="49">
        <f>M132*I132</f>
        <v>0</v>
      </c>
    </row>
    <row r="133" spans="2:14">
      <c r="B133" s="2">
        <v>2021</v>
      </c>
      <c r="C133" s="2" t="s">
        <v>26</v>
      </c>
      <c r="D133" s="12" t="s">
        <v>15</v>
      </c>
      <c r="E133" s="12" t="s">
        <v>15</v>
      </c>
      <c r="F133" t="s">
        <v>36</v>
      </c>
      <c r="G133" s="3">
        <v>0.11712062947257405</v>
      </c>
      <c r="H133" s="13">
        <v>512777</v>
      </c>
      <c r="I133" s="13">
        <f t="shared" si="4"/>
        <v>60056.765019058104</v>
      </c>
      <c r="K133" s="58">
        <f t="shared" si="5"/>
        <v>0</v>
      </c>
      <c r="L133" s="56"/>
      <c r="M133" s="49"/>
      <c r="N133" s="49">
        <f>M133*I133</f>
        <v>0</v>
      </c>
    </row>
    <row r="134" spans="2:14">
      <c r="B134" s="2">
        <v>2021</v>
      </c>
      <c r="C134" s="2" t="s">
        <v>26</v>
      </c>
      <c r="D134" s="12" t="s">
        <v>15</v>
      </c>
      <c r="E134" s="12" t="s">
        <v>15</v>
      </c>
      <c r="F134" t="s">
        <v>37</v>
      </c>
      <c r="G134" s="3">
        <v>0.13664073438466978</v>
      </c>
      <c r="H134" s="13">
        <v>512777</v>
      </c>
      <c r="I134" s="13">
        <f t="shared" si="4"/>
        <v>70066.225855567813</v>
      </c>
      <c r="K134" s="58">
        <f t="shared" si="5"/>
        <v>0</v>
      </c>
      <c r="L134" s="56"/>
      <c r="M134" s="49"/>
      <c r="N134" s="49">
        <f>M134*I134</f>
        <v>0</v>
      </c>
    </row>
    <row r="135" spans="2:14">
      <c r="B135" s="2">
        <v>2021</v>
      </c>
      <c r="C135" s="2" t="s">
        <v>26</v>
      </c>
      <c r="D135" s="12" t="s">
        <v>15</v>
      </c>
      <c r="E135" s="12" t="s">
        <v>15</v>
      </c>
      <c r="F135" s="9" t="s">
        <v>38</v>
      </c>
      <c r="G135" s="10">
        <v>1</v>
      </c>
      <c r="H135" s="13">
        <v>512777</v>
      </c>
      <c r="I135" s="13">
        <f t="shared" si="4"/>
        <v>512777</v>
      </c>
      <c r="J135" s="29">
        <v>79803.307193746878</v>
      </c>
      <c r="K135" s="58">
        <f t="shared" si="5"/>
        <v>6.4255106465083882</v>
      </c>
      <c r="L135" s="56"/>
      <c r="M135" s="49"/>
      <c r="N135" s="49">
        <f>M135*I135</f>
        <v>0</v>
      </c>
    </row>
    <row r="136" spans="2:14">
      <c r="B136" s="2">
        <v>2021</v>
      </c>
      <c r="C136" s="2" t="s">
        <v>27</v>
      </c>
      <c r="D136" s="12" t="s">
        <v>15</v>
      </c>
      <c r="E136" s="12" t="s">
        <v>15</v>
      </c>
      <c r="F136" t="s">
        <v>32</v>
      </c>
      <c r="G136" s="3">
        <v>0.14640078684071758</v>
      </c>
      <c r="H136" s="13">
        <v>290124</v>
      </c>
      <c r="I136" s="13">
        <f t="shared" si="4"/>
        <v>42474.38188137635</v>
      </c>
      <c r="K136" s="58">
        <f t="shared" si="5"/>
        <v>0</v>
      </c>
      <c r="L136" s="56"/>
      <c r="M136" s="49"/>
      <c r="N136" s="49">
        <f>M136*I136</f>
        <v>0</v>
      </c>
    </row>
    <row r="137" spans="2:14">
      <c r="B137" s="2">
        <v>2021</v>
      </c>
      <c r="C137" s="2" t="s">
        <v>27</v>
      </c>
      <c r="D137" s="12" t="s">
        <v>15</v>
      </c>
      <c r="E137" s="12" t="s">
        <v>15</v>
      </c>
      <c r="F137" t="s">
        <v>33</v>
      </c>
      <c r="G137" s="3">
        <v>0.10736057701652624</v>
      </c>
      <c r="H137" s="13">
        <v>290124</v>
      </c>
      <c r="I137" s="13">
        <f t="shared" si="4"/>
        <v>31147.88004634266</v>
      </c>
      <c r="K137" s="58">
        <f t="shared" si="5"/>
        <v>0</v>
      </c>
      <c r="L137" s="56"/>
      <c r="M137" s="49"/>
      <c r="N137" s="49">
        <f>M137*I137</f>
        <v>0</v>
      </c>
    </row>
    <row r="138" spans="2:14">
      <c r="B138" s="2">
        <v>2021</v>
      </c>
      <c r="C138" s="2" t="s">
        <v>27</v>
      </c>
      <c r="D138" s="12" t="s">
        <v>15</v>
      </c>
      <c r="E138" s="12" t="s">
        <v>15</v>
      </c>
      <c r="F138" t="s">
        <v>34</v>
      </c>
      <c r="G138" s="3">
        <v>0.37088199332981786</v>
      </c>
      <c r="H138" s="13">
        <v>290124</v>
      </c>
      <c r="I138" s="13">
        <f t="shared" si="4"/>
        <v>107601.76743282008</v>
      </c>
      <c r="K138" s="58">
        <f t="shared" si="5"/>
        <v>0</v>
      </c>
      <c r="L138" s="56"/>
      <c r="M138" s="49"/>
      <c r="N138" s="49">
        <f>M138*I138</f>
        <v>0</v>
      </c>
    </row>
    <row r="139" spans="2:14">
      <c r="B139" s="2">
        <v>2021</v>
      </c>
      <c r="C139" s="2" t="s">
        <v>27</v>
      </c>
      <c r="D139" s="12" t="s">
        <v>15</v>
      </c>
      <c r="E139" s="12" t="s">
        <v>15</v>
      </c>
      <c r="F139" t="s">
        <v>35</v>
      </c>
      <c r="G139" s="3">
        <v>9.7600524560478394E-2</v>
      </c>
      <c r="H139" s="13">
        <v>290124</v>
      </c>
      <c r="I139" s="13">
        <f t="shared" si="4"/>
        <v>28316.254587584233</v>
      </c>
      <c r="K139" s="58">
        <f t="shared" si="5"/>
        <v>0</v>
      </c>
      <c r="L139" s="56"/>
      <c r="M139" s="49"/>
      <c r="N139" s="49">
        <f>M139*I139</f>
        <v>0</v>
      </c>
    </row>
    <row r="140" spans="2:14">
      <c r="B140" s="2">
        <v>2021</v>
      </c>
      <c r="C140" s="2" t="s">
        <v>27</v>
      </c>
      <c r="D140" s="12" t="s">
        <v>15</v>
      </c>
      <c r="E140" s="12" t="s">
        <v>15</v>
      </c>
      <c r="F140" t="s">
        <v>36</v>
      </c>
      <c r="G140" s="3">
        <v>0.11712062947257405</v>
      </c>
      <c r="H140" s="13">
        <v>290124</v>
      </c>
      <c r="I140" s="13">
        <f t="shared" si="4"/>
        <v>33979.505505101071</v>
      </c>
      <c r="K140" s="58">
        <f t="shared" si="5"/>
        <v>0</v>
      </c>
      <c r="L140" s="56"/>
      <c r="M140" s="49"/>
      <c r="N140" s="49">
        <f>M140*I140</f>
        <v>0</v>
      </c>
    </row>
    <row r="141" spans="2:14">
      <c r="B141" s="2">
        <v>2021</v>
      </c>
      <c r="C141" s="2" t="s">
        <v>27</v>
      </c>
      <c r="D141" s="12" t="s">
        <v>15</v>
      </c>
      <c r="E141" s="12" t="s">
        <v>15</v>
      </c>
      <c r="F141" t="s">
        <v>37</v>
      </c>
      <c r="G141" s="3">
        <v>0.13664073438466978</v>
      </c>
      <c r="H141" s="13">
        <v>290124</v>
      </c>
      <c r="I141" s="13">
        <f t="shared" si="4"/>
        <v>39642.756422617938</v>
      </c>
      <c r="K141" s="58">
        <f t="shared" si="5"/>
        <v>0</v>
      </c>
      <c r="L141" s="56"/>
      <c r="M141" s="49"/>
      <c r="N141" s="49">
        <f>M141*I141</f>
        <v>0</v>
      </c>
    </row>
    <row r="142" spans="2:14">
      <c r="B142" s="2">
        <v>2021</v>
      </c>
      <c r="C142" s="2" t="s">
        <v>27</v>
      </c>
      <c r="D142" s="12" t="s">
        <v>15</v>
      </c>
      <c r="E142" s="12" t="s">
        <v>15</v>
      </c>
      <c r="F142" s="9" t="s">
        <v>38</v>
      </c>
      <c r="G142" s="10">
        <v>1</v>
      </c>
      <c r="H142" s="13">
        <v>290124</v>
      </c>
      <c r="I142" s="13">
        <f t="shared" si="4"/>
        <v>290124</v>
      </c>
      <c r="J142" s="29">
        <v>37079.890994085217</v>
      </c>
      <c r="K142" s="58">
        <f t="shared" si="5"/>
        <v>7.8242948461277573</v>
      </c>
      <c r="L142" s="56"/>
      <c r="M142" s="49"/>
      <c r="N142" s="49">
        <f>M142*I142</f>
        <v>0</v>
      </c>
    </row>
    <row r="143" spans="2:14">
      <c r="B143" s="2">
        <v>2021</v>
      </c>
      <c r="C143" s="2" t="s">
        <v>28</v>
      </c>
      <c r="D143" s="12" t="s">
        <v>15</v>
      </c>
      <c r="E143" s="12" t="s">
        <v>15</v>
      </c>
      <c r="F143" t="s">
        <v>32</v>
      </c>
      <c r="G143" s="3">
        <v>0.14640078684071758</v>
      </c>
      <c r="H143" s="13">
        <v>612724</v>
      </c>
      <c r="I143" s="13">
        <f t="shared" si="4"/>
        <v>89703.275716191842</v>
      </c>
      <c r="K143" s="58">
        <f t="shared" si="5"/>
        <v>0</v>
      </c>
      <c r="L143" s="56"/>
      <c r="M143" s="49"/>
      <c r="N143" s="49">
        <f>M143*I143</f>
        <v>0</v>
      </c>
    </row>
    <row r="144" spans="2:14">
      <c r="B144" s="2">
        <v>2021</v>
      </c>
      <c r="C144" s="2" t="s">
        <v>28</v>
      </c>
      <c r="D144" s="12" t="s">
        <v>15</v>
      </c>
      <c r="E144" s="12" t="s">
        <v>15</v>
      </c>
      <c r="F144" t="s">
        <v>33</v>
      </c>
      <c r="G144" s="3">
        <v>0.10736057701652624</v>
      </c>
      <c r="H144" s="13">
        <v>612724</v>
      </c>
      <c r="I144" s="13">
        <f t="shared" si="4"/>
        <v>65782.402191874018</v>
      </c>
      <c r="K144" s="58">
        <f t="shared" si="5"/>
        <v>0</v>
      </c>
      <c r="L144" s="56"/>
      <c r="M144" s="49"/>
      <c r="N144" s="49">
        <f>M144*I144</f>
        <v>0</v>
      </c>
    </row>
    <row r="145" spans="2:14">
      <c r="B145" s="2">
        <v>2021</v>
      </c>
      <c r="C145" s="2" t="s">
        <v>28</v>
      </c>
      <c r="D145" s="12" t="s">
        <v>15</v>
      </c>
      <c r="E145" s="12" t="s">
        <v>15</v>
      </c>
      <c r="F145" t="s">
        <v>34</v>
      </c>
      <c r="G145" s="3">
        <v>0.37088199332981786</v>
      </c>
      <c r="H145" s="13">
        <v>612724</v>
      </c>
      <c r="I145" s="13">
        <f t="shared" si="4"/>
        <v>227248.29848101933</v>
      </c>
      <c r="K145" s="58">
        <f t="shared" si="5"/>
        <v>0</v>
      </c>
      <c r="L145" s="56"/>
      <c r="M145" s="49"/>
      <c r="N145" s="49">
        <f>M145*I145</f>
        <v>0</v>
      </c>
    </row>
    <row r="146" spans="2:14">
      <c r="B146" s="2">
        <v>2021</v>
      </c>
      <c r="C146" s="2" t="s">
        <v>28</v>
      </c>
      <c r="D146" s="12" t="s">
        <v>15</v>
      </c>
      <c r="E146" s="12" t="s">
        <v>15</v>
      </c>
      <c r="F146" t="s">
        <v>35</v>
      </c>
      <c r="G146" s="3">
        <v>9.7600524560478394E-2</v>
      </c>
      <c r="H146" s="13">
        <v>612724</v>
      </c>
      <c r="I146" s="13">
        <f t="shared" si="4"/>
        <v>59802.183810794566</v>
      </c>
      <c r="K146" s="58">
        <f t="shared" si="5"/>
        <v>0</v>
      </c>
      <c r="L146" s="56"/>
      <c r="M146" s="49"/>
      <c r="N146" s="49">
        <f>M146*I146</f>
        <v>0</v>
      </c>
    </row>
    <row r="147" spans="2:14">
      <c r="B147" s="2">
        <v>2021</v>
      </c>
      <c r="C147" s="2" t="s">
        <v>28</v>
      </c>
      <c r="D147" s="12" t="s">
        <v>15</v>
      </c>
      <c r="E147" s="12" t="s">
        <v>15</v>
      </c>
      <c r="F147" t="s">
        <v>36</v>
      </c>
      <c r="G147" s="3">
        <v>0.11712062947257405</v>
      </c>
      <c r="H147" s="13">
        <v>612724</v>
      </c>
      <c r="I147" s="13">
        <f t="shared" si="4"/>
        <v>71762.62057295347</v>
      </c>
      <c r="K147" s="58">
        <f t="shared" si="5"/>
        <v>0</v>
      </c>
      <c r="L147" s="56"/>
      <c r="M147" s="49"/>
      <c r="N147" s="49">
        <f>M147*I147</f>
        <v>0</v>
      </c>
    </row>
    <row r="148" spans="2:14">
      <c r="B148" s="2">
        <v>2021</v>
      </c>
      <c r="C148" s="2" t="s">
        <v>28</v>
      </c>
      <c r="D148" s="12" t="s">
        <v>15</v>
      </c>
      <c r="E148" s="12" t="s">
        <v>15</v>
      </c>
      <c r="F148" t="s">
        <v>37</v>
      </c>
      <c r="G148" s="3">
        <v>0.13664073438466978</v>
      </c>
      <c r="H148" s="13">
        <v>612724</v>
      </c>
      <c r="I148" s="13">
        <f t="shared" si="4"/>
        <v>83723.057335112404</v>
      </c>
      <c r="K148" s="58">
        <f t="shared" si="5"/>
        <v>0</v>
      </c>
      <c r="L148" s="56"/>
      <c r="M148" s="49"/>
      <c r="N148" s="49">
        <f>M148*I148</f>
        <v>0</v>
      </c>
    </row>
    <row r="149" spans="2:14">
      <c r="B149" s="2">
        <v>2021</v>
      </c>
      <c r="C149" s="2" t="s">
        <v>28</v>
      </c>
      <c r="D149" s="12" t="s">
        <v>15</v>
      </c>
      <c r="E149" s="12" t="s">
        <v>15</v>
      </c>
      <c r="F149" s="9" t="s">
        <v>38</v>
      </c>
      <c r="G149" s="10">
        <v>1</v>
      </c>
      <c r="H149" s="13">
        <v>612724</v>
      </c>
      <c r="I149" s="13">
        <f t="shared" si="4"/>
        <v>612724</v>
      </c>
      <c r="J149" s="29">
        <v>104914.46664546368</v>
      </c>
      <c r="K149" s="58">
        <f t="shared" si="5"/>
        <v>5.8402241329651092</v>
      </c>
      <c r="L149" s="56"/>
      <c r="M149" s="49"/>
      <c r="N149" s="49">
        <f>M149*I149</f>
        <v>0</v>
      </c>
    </row>
    <row r="150" spans="2:14">
      <c r="B150" s="2">
        <v>2021</v>
      </c>
      <c r="C150" s="2" t="s">
        <v>29</v>
      </c>
      <c r="D150" s="12" t="s">
        <v>15</v>
      </c>
      <c r="E150" s="12" t="s">
        <v>15</v>
      </c>
      <c r="F150" t="s">
        <v>32</v>
      </c>
      <c r="G150" s="3">
        <v>0.14640078684071758</v>
      </c>
      <c r="H150" s="13">
        <v>578156</v>
      </c>
      <c r="I150" s="13">
        <f t="shared" si="4"/>
        <v>84642.49331668191</v>
      </c>
      <c r="K150" s="58">
        <f t="shared" si="5"/>
        <v>0</v>
      </c>
      <c r="L150" s="56"/>
      <c r="M150" s="49"/>
      <c r="N150" s="49">
        <f>M150*I150</f>
        <v>0</v>
      </c>
    </row>
    <row r="151" spans="2:14">
      <c r="B151" s="2">
        <v>2021</v>
      </c>
      <c r="C151" s="2" t="s">
        <v>29</v>
      </c>
      <c r="D151" s="12" t="s">
        <v>15</v>
      </c>
      <c r="E151" s="12" t="s">
        <v>15</v>
      </c>
      <c r="F151" t="s">
        <v>33</v>
      </c>
      <c r="G151" s="3">
        <v>0.10736057701652624</v>
      </c>
      <c r="H151" s="13">
        <v>578156</v>
      </c>
      <c r="I151" s="13">
        <f t="shared" si="4"/>
        <v>62071.161765566743</v>
      </c>
      <c r="K151" s="58">
        <f t="shared" si="5"/>
        <v>0</v>
      </c>
      <c r="L151" s="56"/>
      <c r="M151" s="49"/>
      <c r="N151" s="49">
        <f>M151*I151</f>
        <v>0</v>
      </c>
    </row>
    <row r="152" spans="2:14">
      <c r="B152" s="2">
        <v>2021</v>
      </c>
      <c r="C152" s="2" t="s">
        <v>29</v>
      </c>
      <c r="D152" s="12" t="s">
        <v>15</v>
      </c>
      <c r="E152" s="12" t="s">
        <v>15</v>
      </c>
      <c r="F152" t="s">
        <v>34</v>
      </c>
      <c r="G152" s="3">
        <v>0.37088199332981786</v>
      </c>
      <c r="H152" s="13">
        <v>578156</v>
      </c>
      <c r="I152" s="13">
        <f t="shared" si="4"/>
        <v>214427.64973559417</v>
      </c>
      <c r="K152" s="58">
        <f t="shared" si="5"/>
        <v>0</v>
      </c>
      <c r="L152" s="56"/>
      <c r="M152" s="49"/>
      <c r="N152" s="49">
        <f>M152*I152</f>
        <v>0</v>
      </c>
    </row>
    <row r="153" spans="2:14">
      <c r="B153" s="2">
        <v>2021</v>
      </c>
      <c r="C153" s="2" t="s">
        <v>29</v>
      </c>
      <c r="D153" s="12" t="s">
        <v>15</v>
      </c>
      <c r="E153" s="12" t="s">
        <v>15</v>
      </c>
      <c r="F153" t="s">
        <v>35</v>
      </c>
      <c r="G153" s="3">
        <v>9.7600524560478394E-2</v>
      </c>
      <c r="H153" s="13">
        <v>578156</v>
      </c>
      <c r="I153" s="13">
        <f t="shared" si="4"/>
        <v>56428.32887778795</v>
      </c>
      <c r="K153" s="58">
        <f t="shared" si="5"/>
        <v>0</v>
      </c>
      <c r="L153" s="56"/>
      <c r="M153" s="49"/>
      <c r="N153" s="49">
        <f>M153*I153</f>
        <v>0</v>
      </c>
    </row>
    <row r="154" spans="2:14">
      <c r="B154" s="2">
        <v>2021</v>
      </c>
      <c r="C154" s="2" t="s">
        <v>29</v>
      </c>
      <c r="D154" s="12" t="s">
        <v>15</v>
      </c>
      <c r="E154" s="12" t="s">
        <v>15</v>
      </c>
      <c r="F154" t="s">
        <v>36</v>
      </c>
      <c r="G154" s="3">
        <v>0.11712062947257405</v>
      </c>
      <c r="H154" s="13">
        <v>578156</v>
      </c>
      <c r="I154" s="13">
        <f t="shared" si="4"/>
        <v>67713.994653345522</v>
      </c>
      <c r="K154" s="58">
        <f t="shared" si="5"/>
        <v>0</v>
      </c>
      <c r="L154" s="56"/>
      <c r="M154" s="49"/>
      <c r="N154" s="49">
        <f>M154*I154</f>
        <v>0</v>
      </c>
    </row>
    <row r="155" spans="2:14">
      <c r="B155" s="2">
        <v>2021</v>
      </c>
      <c r="C155" s="2" t="s">
        <v>29</v>
      </c>
      <c r="D155" s="12" t="s">
        <v>15</v>
      </c>
      <c r="E155" s="12" t="s">
        <v>15</v>
      </c>
      <c r="F155" t="s">
        <v>37</v>
      </c>
      <c r="G155" s="3">
        <v>0.13664073438466978</v>
      </c>
      <c r="H155" s="13">
        <v>578156</v>
      </c>
      <c r="I155" s="13">
        <f t="shared" si="4"/>
        <v>78999.660428903138</v>
      </c>
      <c r="K155" s="58">
        <f t="shared" si="5"/>
        <v>0</v>
      </c>
      <c r="L155" s="56"/>
      <c r="M155" s="49"/>
      <c r="N155" s="49">
        <f>M155*I155</f>
        <v>0</v>
      </c>
    </row>
    <row r="156" spans="2:14">
      <c r="B156" s="2">
        <v>2021</v>
      </c>
      <c r="C156" s="2" t="s">
        <v>29</v>
      </c>
      <c r="D156" s="12" t="s">
        <v>15</v>
      </c>
      <c r="E156" s="12" t="s">
        <v>15</v>
      </c>
      <c r="F156" s="9" t="s">
        <v>38</v>
      </c>
      <c r="G156" s="10">
        <v>1</v>
      </c>
      <c r="H156" s="13">
        <v>578156</v>
      </c>
      <c r="I156" s="13">
        <f t="shared" si="4"/>
        <v>578156</v>
      </c>
      <c r="J156" s="29">
        <v>101062.41414857145</v>
      </c>
      <c r="K156" s="58">
        <f t="shared" si="5"/>
        <v>5.7207816068004789</v>
      </c>
      <c r="L156" s="56"/>
      <c r="M156" s="49"/>
      <c r="N156" s="49">
        <f>M156*I156</f>
        <v>0</v>
      </c>
    </row>
    <row r="157" spans="2:14">
      <c r="B157" s="2">
        <v>2021</v>
      </c>
      <c r="C157" s="2" t="s">
        <v>30</v>
      </c>
      <c r="D157" s="12" t="s">
        <v>15</v>
      </c>
      <c r="E157" s="12" t="s">
        <v>15</v>
      </c>
      <c r="F157" t="s">
        <v>32</v>
      </c>
      <c r="G157" s="3">
        <v>0.14640078684071758</v>
      </c>
      <c r="H157" s="13">
        <v>635389</v>
      </c>
      <c r="I157" s="13">
        <f t="shared" si="4"/>
        <v>93021.449549936704</v>
      </c>
      <c r="K157" s="58">
        <f t="shared" si="5"/>
        <v>0</v>
      </c>
      <c r="L157" s="56"/>
      <c r="M157" s="49"/>
      <c r="N157" s="49">
        <f>M157*I157</f>
        <v>0</v>
      </c>
    </row>
    <row r="158" spans="2:14">
      <c r="B158" s="2">
        <v>2021</v>
      </c>
      <c r="C158" s="2" t="s">
        <v>30</v>
      </c>
      <c r="D158" s="12" t="s">
        <v>15</v>
      </c>
      <c r="E158" s="12" t="s">
        <v>15</v>
      </c>
      <c r="F158" t="s">
        <v>33</v>
      </c>
      <c r="G158" s="3">
        <v>0.10736057701652624</v>
      </c>
      <c r="H158" s="13">
        <v>635389</v>
      </c>
      <c r="I158" s="13">
        <f t="shared" si="4"/>
        <v>68215.729669953595</v>
      </c>
      <c r="K158" s="58">
        <f t="shared" si="5"/>
        <v>0</v>
      </c>
      <c r="L158" s="56"/>
      <c r="M158" s="49"/>
      <c r="N158" s="49">
        <f>M158*I158</f>
        <v>0</v>
      </c>
    </row>
    <row r="159" spans="2:14">
      <c r="B159" s="2">
        <v>2021</v>
      </c>
      <c r="C159" s="2" t="s">
        <v>30</v>
      </c>
      <c r="D159" s="12" t="s">
        <v>15</v>
      </c>
      <c r="E159" s="12" t="s">
        <v>15</v>
      </c>
      <c r="F159" t="s">
        <v>34</v>
      </c>
      <c r="G159" s="3">
        <v>0.37088199332981786</v>
      </c>
      <c r="H159" s="13">
        <v>635389</v>
      </c>
      <c r="I159" s="13">
        <f t="shared" si="4"/>
        <v>235654.33885983963</v>
      </c>
      <c r="K159" s="58">
        <f t="shared" si="5"/>
        <v>0</v>
      </c>
      <c r="L159" s="56"/>
      <c r="M159" s="49"/>
      <c r="N159" s="49">
        <f>M159*I159</f>
        <v>0</v>
      </c>
    </row>
    <row r="160" spans="2:14">
      <c r="B160" s="2">
        <v>2021</v>
      </c>
      <c r="C160" s="2" t="s">
        <v>30</v>
      </c>
      <c r="D160" s="12" t="s">
        <v>15</v>
      </c>
      <c r="E160" s="12" t="s">
        <v>15</v>
      </c>
      <c r="F160" t="s">
        <v>35</v>
      </c>
      <c r="G160" s="3">
        <v>9.7600524560478394E-2</v>
      </c>
      <c r="H160" s="13">
        <v>635389</v>
      </c>
      <c r="I160" s="13">
        <f t="shared" si="4"/>
        <v>62014.299699957803</v>
      </c>
      <c r="K160" s="58">
        <f t="shared" si="5"/>
        <v>0</v>
      </c>
      <c r="L160" s="56"/>
      <c r="M160" s="49"/>
      <c r="N160" s="49">
        <f>M160*I160</f>
        <v>0</v>
      </c>
    </row>
    <row r="161" spans="2:14">
      <c r="B161" s="2">
        <v>2021</v>
      </c>
      <c r="C161" s="2" t="s">
        <v>30</v>
      </c>
      <c r="D161" s="12" t="s">
        <v>15</v>
      </c>
      <c r="E161" s="12" t="s">
        <v>15</v>
      </c>
      <c r="F161" t="s">
        <v>36</v>
      </c>
      <c r="G161" s="3">
        <v>0.11712062947257405</v>
      </c>
      <c r="H161" s="13">
        <v>635389</v>
      </c>
      <c r="I161" s="13">
        <f t="shared" si="4"/>
        <v>74417.159639949357</v>
      </c>
      <c r="K161" s="58">
        <f t="shared" si="5"/>
        <v>0</v>
      </c>
      <c r="L161" s="56"/>
      <c r="M161" s="49"/>
      <c r="N161" s="49">
        <f>M161*I161</f>
        <v>0</v>
      </c>
    </row>
    <row r="162" spans="2:14">
      <c r="B162" s="2">
        <v>2021</v>
      </c>
      <c r="C162" s="2" t="s">
        <v>30</v>
      </c>
      <c r="D162" s="12" t="s">
        <v>15</v>
      </c>
      <c r="E162" s="12" t="s">
        <v>15</v>
      </c>
      <c r="F162" t="s">
        <v>37</v>
      </c>
      <c r="G162" s="3">
        <v>0.13664073438466978</v>
      </c>
      <c r="H162" s="13">
        <v>635389</v>
      </c>
      <c r="I162" s="13">
        <f t="shared" si="4"/>
        <v>86820.019579940941</v>
      </c>
      <c r="K162" s="58">
        <f t="shared" si="5"/>
        <v>0</v>
      </c>
      <c r="L162" s="56"/>
      <c r="M162" s="49"/>
      <c r="N162" s="49">
        <f>M162*I162</f>
        <v>0</v>
      </c>
    </row>
    <row r="163" spans="2:14">
      <c r="B163" s="2">
        <v>2021</v>
      </c>
      <c r="C163" s="2" t="s">
        <v>30</v>
      </c>
      <c r="D163" s="12" t="s">
        <v>15</v>
      </c>
      <c r="E163" s="12" t="s">
        <v>15</v>
      </c>
      <c r="F163" s="9" t="s">
        <v>38</v>
      </c>
      <c r="G163" s="10">
        <v>1</v>
      </c>
      <c r="H163" s="13">
        <v>635389</v>
      </c>
      <c r="I163" s="13">
        <f t="shared" si="4"/>
        <v>635389</v>
      </c>
      <c r="J163" s="29">
        <v>106547.18929821053</v>
      </c>
      <c r="K163" s="58">
        <f t="shared" si="5"/>
        <v>5.9634515390324934</v>
      </c>
      <c r="L163" s="56"/>
      <c r="M163" s="49"/>
      <c r="N163" s="49">
        <f>M163*I163</f>
        <v>0</v>
      </c>
    </row>
    <row r="164" spans="2:14">
      <c r="B164" s="2">
        <v>2021</v>
      </c>
      <c r="C164" s="2" t="s">
        <v>31</v>
      </c>
      <c r="D164" s="12" t="s">
        <v>15</v>
      </c>
      <c r="E164" s="12" t="s">
        <v>15</v>
      </c>
      <c r="F164" t="s">
        <v>32</v>
      </c>
      <c r="G164" s="3">
        <v>0.14640078684071758</v>
      </c>
      <c r="H164" s="13">
        <v>612464</v>
      </c>
      <c r="I164" s="13">
        <f t="shared" si="4"/>
        <v>89665.211511613248</v>
      </c>
      <c r="K164" s="58">
        <f t="shared" si="5"/>
        <v>0</v>
      </c>
      <c r="L164" s="56"/>
      <c r="M164" s="49"/>
      <c r="N164" s="49">
        <f>M164*I164</f>
        <v>0</v>
      </c>
    </row>
    <row r="165" spans="2:14">
      <c r="B165" s="2">
        <v>2021</v>
      </c>
      <c r="C165" s="2" t="s">
        <v>31</v>
      </c>
      <c r="D165" s="12" t="s">
        <v>15</v>
      </c>
      <c r="E165" s="12" t="s">
        <v>15</v>
      </c>
      <c r="F165" t="s">
        <v>33</v>
      </c>
      <c r="G165" s="3">
        <v>0.10736057701652624</v>
      </c>
      <c r="H165" s="13">
        <v>612464</v>
      </c>
      <c r="I165" s="13">
        <f t="shared" si="4"/>
        <v>65754.488441849724</v>
      </c>
      <c r="K165" s="58">
        <f t="shared" si="5"/>
        <v>0</v>
      </c>
      <c r="L165" s="56"/>
      <c r="M165" s="49"/>
      <c r="N165" s="49">
        <f>M165*I165</f>
        <v>0</v>
      </c>
    </row>
    <row r="166" spans="2:14">
      <c r="B166" s="2">
        <v>2021</v>
      </c>
      <c r="C166" s="2" t="s">
        <v>31</v>
      </c>
      <c r="D166" s="12" t="s">
        <v>15</v>
      </c>
      <c r="E166" s="12" t="s">
        <v>15</v>
      </c>
      <c r="F166" t="s">
        <v>34</v>
      </c>
      <c r="G166" s="3">
        <v>0.37088199332981786</v>
      </c>
      <c r="H166" s="13">
        <v>612464</v>
      </c>
      <c r="I166" s="13">
        <f t="shared" si="4"/>
        <v>227151.86916275357</v>
      </c>
      <c r="K166" s="58">
        <f t="shared" si="5"/>
        <v>0</v>
      </c>
      <c r="L166" s="56"/>
      <c r="M166" s="49"/>
      <c r="N166" s="49">
        <f>M166*I166</f>
        <v>0</v>
      </c>
    </row>
    <row r="167" spans="2:14">
      <c r="B167" s="2">
        <v>2021</v>
      </c>
      <c r="C167" s="2" t="s">
        <v>31</v>
      </c>
      <c r="D167" s="12" t="s">
        <v>15</v>
      </c>
      <c r="E167" s="12" t="s">
        <v>15</v>
      </c>
      <c r="F167" t="s">
        <v>35</v>
      </c>
      <c r="G167" s="3">
        <v>9.7600524560478394E-2</v>
      </c>
      <c r="H167" s="13">
        <v>612464</v>
      </c>
      <c r="I167" s="13">
        <f t="shared" si="4"/>
        <v>59776.807674408839</v>
      </c>
      <c r="K167" s="58">
        <f t="shared" si="5"/>
        <v>0</v>
      </c>
      <c r="L167" s="56"/>
      <c r="M167" s="49"/>
      <c r="N167" s="49">
        <f>M167*I167</f>
        <v>0</v>
      </c>
    </row>
    <row r="168" spans="2:14">
      <c r="B168" s="2">
        <v>2021</v>
      </c>
      <c r="C168" s="2" t="s">
        <v>31</v>
      </c>
      <c r="D168" s="12" t="s">
        <v>15</v>
      </c>
      <c r="E168" s="12" t="s">
        <v>15</v>
      </c>
      <c r="F168" t="s">
        <v>36</v>
      </c>
      <c r="G168" s="3">
        <v>0.11712062947257405</v>
      </c>
      <c r="H168" s="13">
        <v>612464</v>
      </c>
      <c r="I168" s="13">
        <f t="shared" si="4"/>
        <v>71732.169209290601</v>
      </c>
      <c r="K168" s="58">
        <f t="shared" si="5"/>
        <v>0</v>
      </c>
      <c r="L168" s="56"/>
      <c r="M168" s="49"/>
      <c r="N168" s="49">
        <f>M168*I168</f>
        <v>0</v>
      </c>
    </row>
    <row r="169" spans="2:14">
      <c r="B169" s="2">
        <v>2021</v>
      </c>
      <c r="C169" s="2" t="s">
        <v>31</v>
      </c>
      <c r="D169" s="12" t="s">
        <v>15</v>
      </c>
      <c r="E169" s="12" t="s">
        <v>15</v>
      </c>
      <c r="F169" t="s">
        <v>37</v>
      </c>
      <c r="G169" s="3">
        <v>0.13664073438466978</v>
      </c>
      <c r="H169" s="13">
        <v>612464</v>
      </c>
      <c r="I169" s="13">
        <f t="shared" si="4"/>
        <v>83687.5307441724</v>
      </c>
      <c r="K169" s="58">
        <f t="shared" si="5"/>
        <v>0</v>
      </c>
      <c r="L169" s="56"/>
      <c r="M169" s="49"/>
      <c r="N169" s="49">
        <f>M169*I169</f>
        <v>0</v>
      </c>
    </row>
    <row r="170" spans="2:14">
      <c r="B170" s="2">
        <v>2021</v>
      </c>
      <c r="C170" s="2" t="s">
        <v>31</v>
      </c>
      <c r="D170" s="12" t="s">
        <v>15</v>
      </c>
      <c r="E170" s="12" t="s">
        <v>15</v>
      </c>
      <c r="F170" s="9" t="s">
        <v>38</v>
      </c>
      <c r="G170" s="10">
        <v>1</v>
      </c>
      <c r="H170" s="13">
        <v>612464</v>
      </c>
      <c r="I170" s="13">
        <f t="shared" si="4"/>
        <v>612464</v>
      </c>
      <c r="J170" s="29">
        <v>107945.78495997495</v>
      </c>
      <c r="K170" s="58">
        <f t="shared" si="5"/>
        <v>5.6738111657356018</v>
      </c>
      <c r="L170" s="56"/>
      <c r="M170" s="49"/>
      <c r="N170" s="49">
        <f>M170*I170</f>
        <v>0</v>
      </c>
    </row>
    <row r="171" spans="2:14">
      <c r="B171" s="2">
        <v>2021</v>
      </c>
      <c r="C171" s="2" t="s">
        <v>14</v>
      </c>
      <c r="D171" s="12" t="s">
        <v>15</v>
      </c>
      <c r="E171" s="12" t="s">
        <v>15</v>
      </c>
      <c r="F171" t="s">
        <v>32</v>
      </c>
      <c r="G171" s="3">
        <v>0.14640078684071758</v>
      </c>
      <c r="H171" s="13">
        <v>598012</v>
      </c>
      <c r="I171" s="13">
        <f t="shared" si="4"/>
        <v>87549.427340191207</v>
      </c>
      <c r="K171" s="58">
        <f t="shared" si="5"/>
        <v>0</v>
      </c>
      <c r="L171" s="56"/>
      <c r="M171" s="49"/>
      <c r="N171" s="49">
        <f>M171*I171</f>
        <v>0</v>
      </c>
    </row>
    <row r="172" spans="2:14">
      <c r="B172" s="2">
        <v>2021</v>
      </c>
      <c r="C172" s="2" t="s">
        <v>14</v>
      </c>
      <c r="D172" s="12" t="s">
        <v>15</v>
      </c>
      <c r="E172" s="12" t="s">
        <v>15</v>
      </c>
      <c r="F172" t="s">
        <v>33</v>
      </c>
      <c r="G172" s="3">
        <v>0.10736057701652624</v>
      </c>
      <c r="H172" s="13">
        <v>598012</v>
      </c>
      <c r="I172" s="13">
        <f t="shared" si="4"/>
        <v>64202.913382806888</v>
      </c>
      <c r="K172" s="58">
        <f t="shared" si="5"/>
        <v>0</v>
      </c>
      <c r="L172" s="56"/>
      <c r="M172" s="49"/>
      <c r="N172" s="49">
        <f>M172*I172</f>
        <v>0</v>
      </c>
    </row>
    <row r="173" spans="2:14">
      <c r="B173" s="2">
        <v>2021</v>
      </c>
      <c r="C173" s="2" t="s">
        <v>14</v>
      </c>
      <c r="D173" s="12" t="s">
        <v>15</v>
      </c>
      <c r="E173" s="12" t="s">
        <v>15</v>
      </c>
      <c r="F173" t="s">
        <v>34</v>
      </c>
      <c r="G173" s="3">
        <v>0.37088199332981786</v>
      </c>
      <c r="H173" s="13">
        <v>598012</v>
      </c>
      <c r="I173" s="13">
        <f t="shared" si="4"/>
        <v>221791.88259515105</v>
      </c>
      <c r="K173" s="58">
        <f t="shared" si="5"/>
        <v>0</v>
      </c>
      <c r="L173" s="56"/>
      <c r="M173" s="49"/>
      <c r="N173" s="49">
        <f>M173*I173</f>
        <v>0</v>
      </c>
    </row>
    <row r="174" spans="2:14">
      <c r="B174" s="2">
        <v>2021</v>
      </c>
      <c r="C174" s="2" t="s">
        <v>14</v>
      </c>
      <c r="D174" s="12" t="s">
        <v>15</v>
      </c>
      <c r="E174" s="12" t="s">
        <v>15</v>
      </c>
      <c r="F174" t="s">
        <v>35</v>
      </c>
      <c r="G174" s="3">
        <v>9.7600524560478394E-2</v>
      </c>
      <c r="H174" s="13">
        <v>598012</v>
      </c>
      <c r="I174" s="13">
        <f t="shared" si="4"/>
        <v>58366.284893460805</v>
      </c>
      <c r="K174" s="58">
        <f t="shared" si="5"/>
        <v>0</v>
      </c>
      <c r="L174" s="56"/>
      <c r="M174" s="49"/>
      <c r="N174" s="49">
        <f>M174*I174</f>
        <v>0</v>
      </c>
    </row>
    <row r="175" spans="2:14">
      <c r="B175" s="2">
        <v>2021</v>
      </c>
      <c r="C175" s="2" t="s">
        <v>14</v>
      </c>
      <c r="D175" s="12" t="s">
        <v>15</v>
      </c>
      <c r="E175" s="12" t="s">
        <v>15</v>
      </c>
      <c r="F175" t="s">
        <v>36</v>
      </c>
      <c r="G175" s="3">
        <v>0.11712062947257405</v>
      </c>
      <c r="H175" s="13">
        <v>598012</v>
      </c>
      <c r="I175" s="13">
        <f t="shared" si="4"/>
        <v>70039.541872152957</v>
      </c>
      <c r="K175" s="58">
        <f t="shared" si="5"/>
        <v>0</v>
      </c>
      <c r="L175" s="56"/>
      <c r="M175" s="49"/>
      <c r="N175" s="49">
        <f>M175*I175</f>
        <v>0</v>
      </c>
    </row>
    <row r="176" spans="2:14">
      <c r="B176" s="2">
        <v>2021</v>
      </c>
      <c r="C176" s="2" t="s">
        <v>14</v>
      </c>
      <c r="D176" s="12" t="s">
        <v>15</v>
      </c>
      <c r="E176" s="12" t="s">
        <v>15</v>
      </c>
      <c r="F176" t="s">
        <v>37</v>
      </c>
      <c r="G176" s="3">
        <v>0.13664073438466978</v>
      </c>
      <c r="H176" s="13">
        <v>598012</v>
      </c>
      <c r="I176" s="13">
        <f t="shared" si="4"/>
        <v>81712.798850845153</v>
      </c>
      <c r="K176" s="58">
        <f t="shared" si="5"/>
        <v>0</v>
      </c>
      <c r="L176" s="56"/>
      <c r="M176" s="49"/>
      <c r="N176" s="49">
        <f>M176*I176</f>
        <v>0</v>
      </c>
    </row>
    <row r="177" spans="2:14">
      <c r="B177" s="2">
        <v>2021</v>
      </c>
      <c r="C177" s="2" t="s">
        <v>14</v>
      </c>
      <c r="D177" s="12" t="s">
        <v>15</v>
      </c>
      <c r="E177" s="12" t="s">
        <v>15</v>
      </c>
      <c r="F177" s="9" t="s">
        <v>38</v>
      </c>
      <c r="G177" s="10">
        <v>1</v>
      </c>
      <c r="H177" s="13">
        <v>598012</v>
      </c>
      <c r="I177" s="13">
        <f t="shared" si="4"/>
        <v>598012</v>
      </c>
      <c r="J177" s="29">
        <v>111635.40307979449</v>
      </c>
      <c r="K177" s="58">
        <f t="shared" si="5"/>
        <v>5.3568311082511562</v>
      </c>
      <c r="L177" s="56"/>
      <c r="M177" s="49"/>
      <c r="N177" s="49">
        <f>M177*I177</f>
        <v>0</v>
      </c>
    </row>
    <row r="178" spans="2:14">
      <c r="B178" s="2">
        <v>2021</v>
      </c>
      <c r="C178" s="2" t="s">
        <v>21</v>
      </c>
      <c r="D178" s="12" t="s">
        <v>15</v>
      </c>
      <c r="E178" s="12" t="s">
        <v>15</v>
      </c>
      <c r="F178" t="s">
        <v>32</v>
      </c>
      <c r="G178" s="3">
        <v>0.14640078684071758</v>
      </c>
      <c r="H178" s="13">
        <v>581424</v>
      </c>
      <c r="I178" s="13">
        <f t="shared" si="4"/>
        <v>85120.931088077385</v>
      </c>
      <c r="K178" s="58">
        <f t="shared" si="5"/>
        <v>0</v>
      </c>
      <c r="L178" s="56"/>
      <c r="M178" s="49"/>
      <c r="N178" s="49">
        <f>M178*I178</f>
        <v>0</v>
      </c>
    </row>
    <row r="179" spans="2:14">
      <c r="B179" s="2">
        <v>2021</v>
      </c>
      <c r="C179" s="2" t="s">
        <v>21</v>
      </c>
      <c r="D179" s="12" t="s">
        <v>15</v>
      </c>
      <c r="E179" s="12" t="s">
        <v>15</v>
      </c>
      <c r="F179" t="s">
        <v>33</v>
      </c>
      <c r="G179" s="3">
        <v>0.10736057701652624</v>
      </c>
      <c r="H179" s="13">
        <v>581424</v>
      </c>
      <c r="I179" s="13">
        <f t="shared" si="4"/>
        <v>62422.016131256751</v>
      </c>
      <c r="K179" s="58">
        <f t="shared" si="5"/>
        <v>0</v>
      </c>
      <c r="L179" s="56"/>
      <c r="M179" s="49"/>
      <c r="N179" s="49">
        <f>M179*I179</f>
        <v>0</v>
      </c>
    </row>
    <row r="180" spans="2:14">
      <c r="B180" s="2">
        <v>2021</v>
      </c>
      <c r="C180" s="2" t="s">
        <v>21</v>
      </c>
      <c r="D180" s="12" t="s">
        <v>15</v>
      </c>
      <c r="E180" s="12" t="s">
        <v>15</v>
      </c>
      <c r="F180" t="s">
        <v>34</v>
      </c>
      <c r="G180" s="3">
        <v>0.37088199332981786</v>
      </c>
      <c r="H180" s="13">
        <v>581424</v>
      </c>
      <c r="I180" s="13">
        <f t="shared" si="4"/>
        <v>215639.69208979601</v>
      </c>
      <c r="K180" s="58">
        <f t="shared" si="5"/>
        <v>0</v>
      </c>
      <c r="L180" s="56"/>
      <c r="M180" s="49"/>
      <c r="N180" s="49">
        <f>M180*I180</f>
        <v>0</v>
      </c>
    </row>
    <row r="181" spans="2:14">
      <c r="B181" s="2">
        <v>2021</v>
      </c>
      <c r="C181" s="2" t="s">
        <v>21</v>
      </c>
      <c r="D181" s="12" t="s">
        <v>15</v>
      </c>
      <c r="E181" s="12" t="s">
        <v>15</v>
      </c>
      <c r="F181" t="s">
        <v>35</v>
      </c>
      <c r="G181" s="3">
        <v>9.7600524560478394E-2</v>
      </c>
      <c r="H181" s="13">
        <v>581424</v>
      </c>
      <c r="I181" s="13">
        <f t="shared" si="4"/>
        <v>56747.287392051592</v>
      </c>
      <c r="K181" s="58">
        <f t="shared" si="5"/>
        <v>0</v>
      </c>
      <c r="L181" s="56"/>
      <c r="M181" s="49"/>
      <c r="N181" s="49">
        <f>M181*I181</f>
        <v>0</v>
      </c>
    </row>
    <row r="182" spans="2:14">
      <c r="B182" s="2">
        <v>2021</v>
      </c>
      <c r="C182" s="2" t="s">
        <v>21</v>
      </c>
      <c r="D182" s="12" t="s">
        <v>15</v>
      </c>
      <c r="E182" s="12" t="s">
        <v>15</v>
      </c>
      <c r="F182" t="s">
        <v>36</v>
      </c>
      <c r="G182" s="3">
        <v>0.11712062947257405</v>
      </c>
      <c r="H182" s="13">
        <v>581424</v>
      </c>
      <c r="I182" s="13">
        <f t="shared" si="4"/>
        <v>68096.744870461902</v>
      </c>
      <c r="K182" s="58">
        <f t="shared" si="5"/>
        <v>0</v>
      </c>
      <c r="L182" s="56"/>
      <c r="M182" s="49"/>
      <c r="N182" s="49">
        <f>M182*I182</f>
        <v>0</v>
      </c>
    </row>
    <row r="183" spans="2:14">
      <c r="B183" s="2">
        <v>2021</v>
      </c>
      <c r="C183" s="2" t="s">
        <v>21</v>
      </c>
      <c r="D183" s="12" t="s">
        <v>15</v>
      </c>
      <c r="E183" s="12" t="s">
        <v>15</v>
      </c>
      <c r="F183" t="s">
        <v>37</v>
      </c>
      <c r="G183" s="3">
        <v>0.13664073438466978</v>
      </c>
      <c r="H183" s="13">
        <v>581424</v>
      </c>
      <c r="I183" s="13">
        <f t="shared" si="4"/>
        <v>79446.202348872248</v>
      </c>
      <c r="K183" s="58">
        <f t="shared" si="5"/>
        <v>0</v>
      </c>
      <c r="L183" s="56"/>
      <c r="M183" s="49"/>
      <c r="N183" s="49">
        <f>M183*I183</f>
        <v>0</v>
      </c>
    </row>
    <row r="184" spans="2:14">
      <c r="B184" s="2">
        <v>2021</v>
      </c>
      <c r="C184" s="2" t="s">
        <v>21</v>
      </c>
      <c r="D184" s="12" t="s">
        <v>15</v>
      </c>
      <c r="E184" s="12" t="s">
        <v>15</v>
      </c>
      <c r="F184" s="9" t="s">
        <v>38</v>
      </c>
      <c r="G184" s="10">
        <v>1</v>
      </c>
      <c r="H184" s="13">
        <v>581424</v>
      </c>
      <c r="I184" s="13">
        <f t="shared" si="4"/>
        <v>581424</v>
      </c>
      <c r="J184" s="29">
        <v>109039.76213664161</v>
      </c>
      <c r="K184" s="58">
        <f t="shared" si="5"/>
        <v>5.3322199957791252</v>
      </c>
      <c r="L184" s="56"/>
      <c r="M184" s="49"/>
      <c r="N184" s="49">
        <f>M184*I184</f>
        <v>0</v>
      </c>
    </row>
    <row r="185" spans="2:14">
      <c r="B185" s="2">
        <v>2021</v>
      </c>
      <c r="C185" s="2" t="s">
        <v>22</v>
      </c>
      <c r="D185" s="12" t="s">
        <v>15</v>
      </c>
      <c r="E185" s="12" t="s">
        <v>15</v>
      </c>
      <c r="F185" t="s">
        <v>32</v>
      </c>
      <c r="G185" s="3">
        <v>0.14640078684071758</v>
      </c>
      <c r="H185" s="13">
        <v>543482</v>
      </c>
      <c r="I185" s="13">
        <f t="shared" si="4"/>
        <v>79566.192433766875</v>
      </c>
      <c r="K185" s="58">
        <f t="shared" si="5"/>
        <v>0</v>
      </c>
      <c r="L185" s="56"/>
      <c r="M185" s="49"/>
      <c r="N185" s="49">
        <f>M185*I185</f>
        <v>0</v>
      </c>
    </row>
    <row r="186" spans="2:14">
      <c r="B186" s="2">
        <v>2021</v>
      </c>
      <c r="C186" s="2" t="s">
        <v>22</v>
      </c>
      <c r="D186" s="12" t="s">
        <v>15</v>
      </c>
      <c r="E186" s="12" t="s">
        <v>15</v>
      </c>
      <c r="F186" t="s">
        <v>33</v>
      </c>
      <c r="G186" s="3">
        <v>0.10736057701652624</v>
      </c>
      <c r="H186" s="13">
        <v>543482</v>
      </c>
      <c r="I186" s="13">
        <f t="shared" si="4"/>
        <v>58348.541118095709</v>
      </c>
      <c r="K186" s="58">
        <f t="shared" si="5"/>
        <v>0</v>
      </c>
      <c r="L186" s="56"/>
      <c r="M186" s="49"/>
      <c r="N186" s="49">
        <f>M186*I186</f>
        <v>0</v>
      </c>
    </row>
    <row r="187" spans="2:14">
      <c r="B187" s="2">
        <v>2021</v>
      </c>
      <c r="C187" s="2" t="s">
        <v>22</v>
      </c>
      <c r="D187" s="12" t="s">
        <v>15</v>
      </c>
      <c r="E187" s="12" t="s">
        <v>15</v>
      </c>
      <c r="F187" t="s">
        <v>34</v>
      </c>
      <c r="G187" s="3">
        <v>0.37088199332981786</v>
      </c>
      <c r="H187" s="13">
        <v>543482</v>
      </c>
      <c r="I187" s="13">
        <f t="shared" si="4"/>
        <v>201567.68749887607</v>
      </c>
      <c r="K187" s="58">
        <f t="shared" si="5"/>
        <v>0</v>
      </c>
      <c r="L187" s="56"/>
      <c r="M187" s="49"/>
      <c r="N187" s="49">
        <f>M187*I187</f>
        <v>0</v>
      </c>
    </row>
    <row r="188" spans="2:14">
      <c r="B188" s="2">
        <v>2021</v>
      </c>
      <c r="C188" s="2" t="s">
        <v>22</v>
      </c>
      <c r="D188" s="12" t="s">
        <v>15</v>
      </c>
      <c r="E188" s="12" t="s">
        <v>15</v>
      </c>
      <c r="F188" t="s">
        <v>35</v>
      </c>
      <c r="G188" s="3">
        <v>9.7600524560478394E-2</v>
      </c>
      <c r="H188" s="13">
        <v>543482</v>
      </c>
      <c r="I188" s="13">
        <f t="shared" si="4"/>
        <v>53044.128289177919</v>
      </c>
      <c r="K188" s="58">
        <f t="shared" si="5"/>
        <v>0</v>
      </c>
      <c r="L188" s="56"/>
      <c r="M188" s="49"/>
      <c r="N188" s="49">
        <f>M188*I188</f>
        <v>0</v>
      </c>
    </row>
    <row r="189" spans="2:14">
      <c r="B189" s="2">
        <v>2021</v>
      </c>
      <c r="C189" s="2" t="s">
        <v>22</v>
      </c>
      <c r="D189" s="12" t="s">
        <v>15</v>
      </c>
      <c r="E189" s="12" t="s">
        <v>15</v>
      </c>
      <c r="F189" t="s">
        <v>36</v>
      </c>
      <c r="G189" s="3">
        <v>0.11712062947257405</v>
      </c>
      <c r="H189" s="13">
        <v>543482</v>
      </c>
      <c r="I189" s="13">
        <f t="shared" si="4"/>
        <v>63652.953947013491</v>
      </c>
      <c r="K189" s="58">
        <f t="shared" si="5"/>
        <v>0</v>
      </c>
      <c r="L189" s="56"/>
      <c r="M189" s="49"/>
      <c r="N189" s="49">
        <f>M189*I189</f>
        <v>0</v>
      </c>
    </row>
    <row r="190" spans="2:14">
      <c r="B190" s="2">
        <v>2021</v>
      </c>
      <c r="C190" s="2" t="s">
        <v>22</v>
      </c>
      <c r="D190" s="12" t="s">
        <v>15</v>
      </c>
      <c r="E190" s="12" t="s">
        <v>15</v>
      </c>
      <c r="F190" t="s">
        <v>37</v>
      </c>
      <c r="G190" s="3">
        <v>0.13664073438466978</v>
      </c>
      <c r="H190" s="13">
        <v>543482</v>
      </c>
      <c r="I190" s="13">
        <f t="shared" si="4"/>
        <v>74261.7796048491</v>
      </c>
      <c r="K190" s="58">
        <f t="shared" si="5"/>
        <v>0</v>
      </c>
      <c r="L190" s="56"/>
      <c r="M190" s="49"/>
      <c r="N190" s="49">
        <f>M190*I190</f>
        <v>0</v>
      </c>
    </row>
    <row r="191" spans="2:14">
      <c r="B191" s="2">
        <v>2022</v>
      </c>
      <c r="C191" s="2" t="s">
        <v>22</v>
      </c>
      <c r="D191" s="12" t="s">
        <v>15</v>
      </c>
      <c r="E191" s="12" t="s">
        <v>15</v>
      </c>
      <c r="F191" s="9" t="s">
        <v>38</v>
      </c>
      <c r="G191" s="10">
        <v>1</v>
      </c>
      <c r="H191" s="13">
        <v>543482</v>
      </c>
      <c r="I191" s="13">
        <f t="shared" si="4"/>
        <v>543482</v>
      </c>
      <c r="J191" s="29">
        <v>99123.943582466178</v>
      </c>
      <c r="K191" s="58">
        <f t="shared" si="5"/>
        <v>5.4828528845591187</v>
      </c>
      <c r="L191" s="56"/>
      <c r="M191" s="49"/>
      <c r="N191" s="49">
        <f>M191*I191</f>
        <v>0</v>
      </c>
    </row>
    <row r="192" spans="2:14">
      <c r="B192" s="2">
        <v>2022</v>
      </c>
      <c r="C192" s="2" t="s">
        <v>23</v>
      </c>
      <c r="D192" s="12" t="s">
        <v>15</v>
      </c>
      <c r="E192" s="12" t="s">
        <v>15</v>
      </c>
      <c r="F192" t="s">
        <v>32</v>
      </c>
      <c r="G192" s="3">
        <v>0.14640078684071758</v>
      </c>
      <c r="H192" s="13">
        <v>559672</v>
      </c>
      <c r="I192" s="13">
        <f t="shared" si="4"/>
        <v>81936.421172718095</v>
      </c>
      <c r="K192" s="58">
        <f t="shared" si="5"/>
        <v>0</v>
      </c>
      <c r="L192" s="56"/>
      <c r="M192" s="49"/>
      <c r="N192" s="49">
        <f>M192*I192</f>
        <v>0</v>
      </c>
    </row>
    <row r="193" spans="2:14">
      <c r="B193" s="2">
        <v>2022</v>
      </c>
      <c r="C193" s="2" t="s">
        <v>23</v>
      </c>
      <c r="D193" s="12" t="s">
        <v>15</v>
      </c>
      <c r="E193" s="12" t="s">
        <v>15</v>
      </c>
      <c r="F193" t="s">
        <v>33</v>
      </c>
      <c r="G193" s="3">
        <v>0.10736057701652624</v>
      </c>
      <c r="H193" s="13">
        <v>559672</v>
      </c>
      <c r="I193" s="13">
        <f t="shared" si="4"/>
        <v>60086.708859993276</v>
      </c>
      <c r="K193" s="58">
        <f t="shared" si="5"/>
        <v>0</v>
      </c>
      <c r="L193" s="56"/>
      <c r="M193" s="49"/>
      <c r="N193" s="49">
        <f>M193*I193</f>
        <v>0</v>
      </c>
    </row>
    <row r="194" spans="2:14">
      <c r="B194" s="2">
        <v>2022</v>
      </c>
      <c r="C194" s="2" t="s">
        <v>23</v>
      </c>
      <c r="D194" s="12" t="s">
        <v>15</v>
      </c>
      <c r="E194" s="12" t="s">
        <v>15</v>
      </c>
      <c r="F194" t="s">
        <v>34</v>
      </c>
      <c r="G194" s="3">
        <v>0.37088199332981786</v>
      </c>
      <c r="H194" s="13">
        <v>559672</v>
      </c>
      <c r="I194" s="13">
        <f t="shared" si="4"/>
        <v>207572.26697088583</v>
      </c>
      <c r="K194" s="58">
        <f t="shared" si="5"/>
        <v>0</v>
      </c>
      <c r="L194" s="56"/>
      <c r="M194" s="49"/>
      <c r="N194" s="49">
        <f>M194*I194</f>
        <v>0</v>
      </c>
    </row>
    <row r="195" spans="2:14">
      <c r="B195" s="2">
        <v>2022</v>
      </c>
      <c r="C195" s="2" t="s">
        <v>23</v>
      </c>
      <c r="D195" s="12" t="s">
        <v>15</v>
      </c>
      <c r="E195" s="12" t="s">
        <v>15</v>
      </c>
      <c r="F195" t="s">
        <v>35</v>
      </c>
      <c r="G195" s="3">
        <v>9.7600524560478394E-2</v>
      </c>
      <c r="H195" s="13">
        <v>559672</v>
      </c>
      <c r="I195" s="13">
        <f t="shared" ref="I195:I258" si="6">G195*H195</f>
        <v>54624.280781812064</v>
      </c>
      <c r="K195" s="58">
        <f t="shared" si="5"/>
        <v>0</v>
      </c>
      <c r="L195" s="56"/>
      <c r="M195" s="49"/>
      <c r="N195" s="49">
        <f>M195*I195</f>
        <v>0</v>
      </c>
    </row>
    <row r="196" spans="2:14">
      <c r="B196" s="2">
        <v>2022</v>
      </c>
      <c r="C196" s="2" t="s">
        <v>23</v>
      </c>
      <c r="D196" s="12" t="s">
        <v>15</v>
      </c>
      <c r="E196" s="12" t="s">
        <v>15</v>
      </c>
      <c r="F196" t="s">
        <v>36</v>
      </c>
      <c r="G196" s="3">
        <v>0.11712062947257405</v>
      </c>
      <c r="H196" s="13">
        <v>559672</v>
      </c>
      <c r="I196" s="13">
        <f t="shared" si="6"/>
        <v>65549.136938174459</v>
      </c>
      <c r="K196" s="58">
        <f t="shared" ref="K196:K259" si="7">IFERROR(I196/J196,0)</f>
        <v>0</v>
      </c>
      <c r="L196" s="56"/>
      <c r="M196" s="49"/>
      <c r="N196" s="49">
        <f>M196*I196</f>
        <v>0</v>
      </c>
    </row>
    <row r="197" spans="2:14">
      <c r="B197" s="2">
        <v>2022</v>
      </c>
      <c r="C197" s="2" t="s">
        <v>23</v>
      </c>
      <c r="D197" s="12" t="s">
        <v>15</v>
      </c>
      <c r="E197" s="12" t="s">
        <v>15</v>
      </c>
      <c r="F197" t="s">
        <v>37</v>
      </c>
      <c r="G197" s="3">
        <v>0.13664073438466978</v>
      </c>
      <c r="H197" s="13">
        <v>559672</v>
      </c>
      <c r="I197" s="13">
        <f t="shared" si="6"/>
        <v>76473.993094536912</v>
      </c>
      <c r="K197" s="58">
        <f t="shared" si="7"/>
        <v>0</v>
      </c>
      <c r="L197" s="56"/>
      <c r="M197" s="49"/>
      <c r="N197" s="49">
        <f>M197*I197</f>
        <v>0</v>
      </c>
    </row>
    <row r="198" spans="2:14">
      <c r="B198" s="2">
        <v>2022</v>
      </c>
      <c r="C198" s="2" t="s">
        <v>23</v>
      </c>
      <c r="D198" s="12" t="s">
        <v>15</v>
      </c>
      <c r="E198" s="12" t="s">
        <v>15</v>
      </c>
      <c r="F198" s="9" t="s">
        <v>38</v>
      </c>
      <c r="G198" s="10">
        <v>1</v>
      </c>
      <c r="H198" s="13">
        <v>559672</v>
      </c>
      <c r="I198" s="13">
        <f t="shared" si="6"/>
        <v>559672</v>
      </c>
      <c r="J198" s="29">
        <v>96959.94672429323</v>
      </c>
      <c r="K198" s="58">
        <f t="shared" si="7"/>
        <v>5.7721978910676803</v>
      </c>
      <c r="L198" s="56"/>
      <c r="M198" s="49"/>
      <c r="N198" s="49">
        <f>M198*I198</f>
        <v>0</v>
      </c>
    </row>
    <row r="199" spans="2:14">
      <c r="B199" s="2">
        <v>2022</v>
      </c>
      <c r="C199" s="2" t="s">
        <v>24</v>
      </c>
      <c r="D199" s="12" t="s">
        <v>15</v>
      </c>
      <c r="E199" s="12" t="s">
        <v>15</v>
      </c>
      <c r="F199" t="s">
        <v>32</v>
      </c>
      <c r="G199" s="3">
        <v>0.14640078684071758</v>
      </c>
      <c r="H199" s="13">
        <v>563781</v>
      </c>
      <c r="I199" s="13">
        <f t="shared" si="6"/>
        <v>82537.982005846599</v>
      </c>
      <c r="K199" s="58">
        <f t="shared" si="7"/>
        <v>0</v>
      </c>
      <c r="L199" s="56"/>
      <c r="M199" s="49"/>
      <c r="N199" s="49">
        <f>M199*I199</f>
        <v>0</v>
      </c>
    </row>
    <row r="200" spans="2:14">
      <c r="B200" s="2">
        <v>2022</v>
      </c>
      <c r="C200" s="2" t="s">
        <v>24</v>
      </c>
      <c r="D200" s="12" t="s">
        <v>15</v>
      </c>
      <c r="E200" s="12" t="s">
        <v>15</v>
      </c>
      <c r="F200" t="s">
        <v>33</v>
      </c>
      <c r="G200" s="3">
        <v>0.10736057701652624</v>
      </c>
      <c r="H200" s="13">
        <v>563781</v>
      </c>
      <c r="I200" s="13">
        <f t="shared" si="6"/>
        <v>60527.853470954178</v>
      </c>
      <c r="K200" s="58">
        <f t="shared" si="7"/>
        <v>0</v>
      </c>
      <c r="L200" s="56"/>
      <c r="M200" s="49"/>
      <c r="N200" s="49">
        <f>M200*I200</f>
        <v>0</v>
      </c>
    </row>
    <row r="201" spans="2:14">
      <c r="B201" s="2">
        <v>2022</v>
      </c>
      <c r="C201" s="2" t="s">
        <v>24</v>
      </c>
      <c r="D201" s="12" t="s">
        <v>15</v>
      </c>
      <c r="E201" s="12" t="s">
        <v>15</v>
      </c>
      <c r="F201" t="s">
        <v>34</v>
      </c>
      <c r="G201" s="3">
        <v>0.37088199332981786</v>
      </c>
      <c r="H201" s="13">
        <v>563781</v>
      </c>
      <c r="I201" s="13">
        <f t="shared" si="6"/>
        <v>209096.22108147806</v>
      </c>
      <c r="K201" s="58">
        <f t="shared" si="7"/>
        <v>0</v>
      </c>
      <c r="L201" s="56"/>
      <c r="M201" s="49"/>
      <c r="N201" s="49">
        <f>M201*I201</f>
        <v>0</v>
      </c>
    </row>
    <row r="202" spans="2:14">
      <c r="B202" s="2">
        <v>2022</v>
      </c>
      <c r="C202" s="2" t="s">
        <v>24</v>
      </c>
      <c r="D202" s="12" t="s">
        <v>15</v>
      </c>
      <c r="E202" s="12" t="s">
        <v>15</v>
      </c>
      <c r="F202" t="s">
        <v>35</v>
      </c>
      <c r="G202" s="3">
        <v>9.7600524560478394E-2</v>
      </c>
      <c r="H202" s="13">
        <v>563781</v>
      </c>
      <c r="I202" s="13">
        <f t="shared" si="6"/>
        <v>55025.321337231071</v>
      </c>
      <c r="K202" s="58">
        <f t="shared" si="7"/>
        <v>0</v>
      </c>
      <c r="L202" s="56"/>
      <c r="M202" s="49"/>
      <c r="N202" s="49">
        <f>M202*I202</f>
        <v>0</v>
      </c>
    </row>
    <row r="203" spans="2:14">
      <c r="B203" s="2">
        <v>2022</v>
      </c>
      <c r="C203" s="2" t="s">
        <v>24</v>
      </c>
      <c r="D203" s="12" t="s">
        <v>15</v>
      </c>
      <c r="E203" s="12" t="s">
        <v>15</v>
      </c>
      <c r="F203" t="s">
        <v>36</v>
      </c>
      <c r="G203" s="3">
        <v>0.11712062947257405</v>
      </c>
      <c r="H203" s="13">
        <v>563781</v>
      </c>
      <c r="I203" s="13">
        <f t="shared" si="6"/>
        <v>66030.385604677271</v>
      </c>
      <c r="K203" s="58">
        <f t="shared" si="7"/>
        <v>0</v>
      </c>
      <c r="L203" s="56"/>
      <c r="M203" s="49"/>
      <c r="N203" s="49">
        <f>M203*I203</f>
        <v>0</v>
      </c>
    </row>
    <row r="204" spans="2:14">
      <c r="B204" s="2">
        <v>2022</v>
      </c>
      <c r="C204" s="2" t="s">
        <v>24</v>
      </c>
      <c r="D204" s="12" t="s">
        <v>15</v>
      </c>
      <c r="E204" s="12" t="s">
        <v>15</v>
      </c>
      <c r="F204" t="s">
        <v>37</v>
      </c>
      <c r="G204" s="3">
        <v>0.13664073438466978</v>
      </c>
      <c r="H204" s="13">
        <v>563781</v>
      </c>
      <c r="I204" s="13">
        <f t="shared" si="6"/>
        <v>77035.449872123514</v>
      </c>
      <c r="K204" s="58">
        <f t="shared" si="7"/>
        <v>0</v>
      </c>
      <c r="L204" s="56"/>
      <c r="M204" s="49"/>
      <c r="N204" s="49">
        <f>M204*I204</f>
        <v>0</v>
      </c>
    </row>
    <row r="205" spans="2:14">
      <c r="B205" s="2">
        <v>2022</v>
      </c>
      <c r="C205" s="2" t="s">
        <v>24</v>
      </c>
      <c r="D205" s="12" t="s">
        <v>15</v>
      </c>
      <c r="E205" s="12" t="s">
        <v>15</v>
      </c>
      <c r="F205" s="9" t="s">
        <v>38</v>
      </c>
      <c r="G205" s="10">
        <v>1</v>
      </c>
      <c r="H205" s="13">
        <v>563781</v>
      </c>
      <c r="I205" s="13">
        <f t="shared" si="6"/>
        <v>563781</v>
      </c>
      <c r="J205" s="29">
        <v>105106.05315462909</v>
      </c>
      <c r="K205" s="58">
        <f t="shared" si="7"/>
        <v>5.3639251316057042</v>
      </c>
      <c r="L205" s="56"/>
      <c r="M205" s="49"/>
      <c r="N205" s="49">
        <f>M205*I205</f>
        <v>0</v>
      </c>
    </row>
    <row r="206" spans="2:14">
      <c r="B206" s="2">
        <v>2022</v>
      </c>
      <c r="C206" s="2" t="s">
        <v>25</v>
      </c>
      <c r="D206" s="12" t="s">
        <v>15</v>
      </c>
      <c r="E206" s="12" t="s">
        <v>15</v>
      </c>
      <c r="F206" t="s">
        <v>32</v>
      </c>
      <c r="G206" s="3">
        <v>0.14640078684071758</v>
      </c>
      <c r="H206" s="13">
        <v>628546</v>
      </c>
      <c r="I206" s="13">
        <f t="shared" si="6"/>
        <v>92019.628965585682</v>
      </c>
      <c r="K206" s="58">
        <f t="shared" si="7"/>
        <v>0</v>
      </c>
      <c r="L206" s="56"/>
      <c r="M206" s="49"/>
      <c r="N206" s="49">
        <f>M206*I206</f>
        <v>0</v>
      </c>
    </row>
    <row r="207" spans="2:14">
      <c r="B207" s="2">
        <v>2022</v>
      </c>
      <c r="C207" s="2" t="s">
        <v>25</v>
      </c>
      <c r="D207" s="12" t="s">
        <v>15</v>
      </c>
      <c r="E207" s="12" t="s">
        <v>15</v>
      </c>
      <c r="F207" t="s">
        <v>33</v>
      </c>
      <c r="G207" s="3">
        <v>0.10736057701652624</v>
      </c>
      <c r="H207" s="13">
        <v>628546</v>
      </c>
      <c r="I207" s="13">
        <f t="shared" si="6"/>
        <v>67481.061241429503</v>
      </c>
      <c r="K207" s="58">
        <f t="shared" si="7"/>
        <v>0</v>
      </c>
      <c r="L207" s="56"/>
      <c r="M207" s="49"/>
      <c r="N207" s="49">
        <f>M207*I207</f>
        <v>0</v>
      </c>
    </row>
    <row r="208" spans="2:14">
      <c r="B208" s="2">
        <v>2022</v>
      </c>
      <c r="C208" s="2" t="s">
        <v>25</v>
      </c>
      <c r="D208" s="12" t="s">
        <v>15</v>
      </c>
      <c r="E208" s="12" t="s">
        <v>15</v>
      </c>
      <c r="F208" t="s">
        <v>34</v>
      </c>
      <c r="G208" s="3">
        <v>0.37088199332981786</v>
      </c>
      <c r="H208" s="13">
        <v>628546</v>
      </c>
      <c r="I208" s="13">
        <f t="shared" si="6"/>
        <v>233116.39337948369</v>
      </c>
      <c r="K208" s="58">
        <f t="shared" si="7"/>
        <v>0</v>
      </c>
      <c r="L208" s="56"/>
      <c r="M208" s="49"/>
      <c r="N208" s="49">
        <f>M208*I208</f>
        <v>0</v>
      </c>
    </row>
    <row r="209" spans="2:14">
      <c r="B209" s="2">
        <v>2022</v>
      </c>
      <c r="C209" s="2" t="s">
        <v>25</v>
      </c>
      <c r="D209" s="12" t="s">
        <v>15</v>
      </c>
      <c r="E209" s="12" t="s">
        <v>15</v>
      </c>
      <c r="F209" t="s">
        <v>35</v>
      </c>
      <c r="G209" s="3">
        <v>9.7600524560478394E-2</v>
      </c>
      <c r="H209" s="13">
        <v>628546</v>
      </c>
      <c r="I209" s="13">
        <f t="shared" si="6"/>
        <v>61346.419310390454</v>
      </c>
      <c r="K209" s="58">
        <f t="shared" si="7"/>
        <v>0</v>
      </c>
      <c r="L209" s="56"/>
      <c r="M209" s="49"/>
      <c r="N209" s="49">
        <f>M209*I209</f>
        <v>0</v>
      </c>
    </row>
    <row r="210" spans="2:14">
      <c r="B210" s="2">
        <v>2022</v>
      </c>
      <c r="C210" s="2" t="s">
        <v>25</v>
      </c>
      <c r="D210" s="12" t="s">
        <v>15</v>
      </c>
      <c r="E210" s="12" t="s">
        <v>15</v>
      </c>
      <c r="F210" t="s">
        <v>36</v>
      </c>
      <c r="G210" s="3">
        <v>0.11712062947257405</v>
      </c>
      <c r="H210" s="13">
        <v>628546</v>
      </c>
      <c r="I210" s="13">
        <f t="shared" si="6"/>
        <v>73615.703172468537</v>
      </c>
      <c r="K210" s="58">
        <f t="shared" si="7"/>
        <v>0</v>
      </c>
      <c r="L210" s="56"/>
      <c r="M210" s="49"/>
      <c r="N210" s="49">
        <f>M210*I210</f>
        <v>0</v>
      </c>
    </row>
    <row r="211" spans="2:14">
      <c r="B211" s="2">
        <v>2022</v>
      </c>
      <c r="C211" s="2" t="s">
        <v>25</v>
      </c>
      <c r="D211" s="12" t="s">
        <v>15</v>
      </c>
      <c r="E211" s="12" t="s">
        <v>15</v>
      </c>
      <c r="F211" t="s">
        <v>37</v>
      </c>
      <c r="G211" s="3">
        <v>0.13664073438466978</v>
      </c>
      <c r="H211" s="13">
        <v>628546</v>
      </c>
      <c r="I211" s="13">
        <f t="shared" si="6"/>
        <v>85884.987034546648</v>
      </c>
      <c r="K211" s="58">
        <f t="shared" si="7"/>
        <v>0</v>
      </c>
      <c r="L211" s="56"/>
      <c r="M211" s="49"/>
      <c r="N211" s="49">
        <f>M211*I211</f>
        <v>0</v>
      </c>
    </row>
    <row r="212" spans="2:14">
      <c r="B212" s="2">
        <v>2022</v>
      </c>
      <c r="C212" s="2" t="s">
        <v>25</v>
      </c>
      <c r="D212" s="12" t="s">
        <v>15</v>
      </c>
      <c r="E212" s="12" t="s">
        <v>15</v>
      </c>
      <c r="F212" s="9" t="s">
        <v>38</v>
      </c>
      <c r="G212" s="10">
        <v>1</v>
      </c>
      <c r="H212" s="13">
        <v>628546</v>
      </c>
      <c r="I212" s="13">
        <f t="shared" si="6"/>
        <v>628546</v>
      </c>
      <c r="J212" s="29">
        <v>114335.36846350376</v>
      </c>
      <c r="K212" s="58">
        <f t="shared" si="7"/>
        <v>5.4973890270938695</v>
      </c>
      <c r="L212" s="56"/>
      <c r="M212" s="49"/>
      <c r="N212" s="49">
        <f>M212*I212</f>
        <v>0</v>
      </c>
    </row>
    <row r="213" spans="2:14">
      <c r="B213" s="2">
        <v>2022</v>
      </c>
      <c r="C213" s="2" t="s">
        <v>26</v>
      </c>
      <c r="D213" s="12" t="s">
        <v>15</v>
      </c>
      <c r="E213" s="12" t="s">
        <v>15</v>
      </c>
      <c r="F213" t="s">
        <v>32</v>
      </c>
      <c r="G213" s="3">
        <v>0.14640078684071758</v>
      </c>
      <c r="H213" s="13">
        <v>595485</v>
      </c>
      <c r="I213" s="13">
        <f t="shared" si="6"/>
        <v>87179.472551844709</v>
      </c>
      <c r="K213" s="58">
        <f t="shared" si="7"/>
        <v>0</v>
      </c>
      <c r="L213" s="56"/>
      <c r="M213" s="49"/>
      <c r="N213" s="49">
        <f>M213*I213</f>
        <v>0</v>
      </c>
    </row>
    <row r="214" spans="2:14">
      <c r="B214" s="2">
        <v>2022</v>
      </c>
      <c r="C214" s="2" t="s">
        <v>26</v>
      </c>
      <c r="D214" s="12" t="s">
        <v>15</v>
      </c>
      <c r="E214" s="12" t="s">
        <v>15</v>
      </c>
      <c r="F214" t="s">
        <v>33</v>
      </c>
      <c r="G214" s="3">
        <v>0.10736057701652624</v>
      </c>
      <c r="H214" s="13">
        <v>595485</v>
      </c>
      <c r="I214" s="13">
        <f t="shared" si="6"/>
        <v>63931.613204686124</v>
      </c>
      <c r="K214" s="58">
        <f t="shared" si="7"/>
        <v>0</v>
      </c>
      <c r="L214" s="56"/>
      <c r="M214" s="49"/>
      <c r="N214" s="49">
        <f>M214*I214</f>
        <v>0</v>
      </c>
    </row>
    <row r="215" spans="2:14">
      <c r="B215" s="2">
        <v>2022</v>
      </c>
      <c r="C215" s="2" t="s">
        <v>26</v>
      </c>
      <c r="D215" s="12" t="s">
        <v>15</v>
      </c>
      <c r="E215" s="12" t="s">
        <v>15</v>
      </c>
      <c r="F215" t="s">
        <v>34</v>
      </c>
      <c r="G215" s="3">
        <v>0.37088199332981786</v>
      </c>
      <c r="H215" s="13">
        <v>595485</v>
      </c>
      <c r="I215" s="13">
        <f t="shared" si="6"/>
        <v>220854.6637980066</v>
      </c>
      <c r="K215" s="58">
        <f t="shared" si="7"/>
        <v>0</v>
      </c>
      <c r="L215" s="56"/>
      <c r="M215" s="49"/>
      <c r="N215" s="49">
        <f>M215*I215</f>
        <v>0</v>
      </c>
    </row>
    <row r="216" spans="2:14">
      <c r="B216" s="2">
        <v>2022</v>
      </c>
      <c r="C216" s="2" t="s">
        <v>26</v>
      </c>
      <c r="D216" s="12" t="s">
        <v>15</v>
      </c>
      <c r="E216" s="12" t="s">
        <v>15</v>
      </c>
      <c r="F216" t="s">
        <v>35</v>
      </c>
      <c r="G216" s="3">
        <v>9.7600524560478394E-2</v>
      </c>
      <c r="H216" s="13">
        <v>595485</v>
      </c>
      <c r="I216" s="13">
        <f t="shared" si="6"/>
        <v>58119.64836789648</v>
      </c>
      <c r="K216" s="58">
        <f t="shared" si="7"/>
        <v>0</v>
      </c>
      <c r="L216" s="56"/>
      <c r="M216" s="49"/>
      <c r="N216" s="49">
        <f>M216*I216</f>
        <v>0</v>
      </c>
    </row>
    <row r="217" spans="2:14">
      <c r="B217" s="2">
        <v>2022</v>
      </c>
      <c r="C217" s="2" t="s">
        <v>26</v>
      </c>
      <c r="D217" s="12" t="s">
        <v>15</v>
      </c>
      <c r="E217" s="12" t="s">
        <v>15</v>
      </c>
      <c r="F217" t="s">
        <v>36</v>
      </c>
      <c r="G217" s="3">
        <v>0.11712062947257405</v>
      </c>
      <c r="H217" s="13">
        <v>595485</v>
      </c>
      <c r="I217" s="13">
        <f t="shared" si="6"/>
        <v>69743.578041475761</v>
      </c>
      <c r="K217" s="58">
        <f t="shared" si="7"/>
        <v>0</v>
      </c>
      <c r="L217" s="56"/>
      <c r="M217" s="49"/>
      <c r="N217" s="49">
        <f>M217*I217</f>
        <v>0</v>
      </c>
    </row>
    <row r="218" spans="2:14">
      <c r="B218" s="2">
        <v>2022</v>
      </c>
      <c r="C218" s="2" t="s">
        <v>26</v>
      </c>
      <c r="D218" s="12" t="s">
        <v>15</v>
      </c>
      <c r="E218" s="12" t="s">
        <v>15</v>
      </c>
      <c r="F218" t="s">
        <v>37</v>
      </c>
      <c r="G218" s="3">
        <v>0.13664073438466978</v>
      </c>
      <c r="H218" s="13">
        <v>595485</v>
      </c>
      <c r="I218" s="13">
        <f t="shared" si="6"/>
        <v>81367.507715055079</v>
      </c>
      <c r="K218" s="58">
        <f t="shared" si="7"/>
        <v>0</v>
      </c>
      <c r="L218" s="56"/>
      <c r="M218" s="49"/>
      <c r="N218" s="49">
        <f>M218*I218</f>
        <v>0</v>
      </c>
    </row>
    <row r="219" spans="2:14">
      <c r="B219" s="2">
        <v>2022</v>
      </c>
      <c r="C219" s="2" t="s">
        <v>26</v>
      </c>
      <c r="D219" s="12" t="s">
        <v>15</v>
      </c>
      <c r="E219" s="12" t="s">
        <v>15</v>
      </c>
      <c r="F219" s="9" t="s">
        <v>38</v>
      </c>
      <c r="G219" s="10">
        <v>1</v>
      </c>
      <c r="H219" s="13">
        <v>595485</v>
      </c>
      <c r="I219" s="13">
        <f t="shared" si="6"/>
        <v>595485</v>
      </c>
      <c r="J219" s="29">
        <v>107843.14948545113</v>
      </c>
      <c r="K219" s="58">
        <f t="shared" si="7"/>
        <v>5.5217693737731164</v>
      </c>
      <c r="L219" s="56"/>
      <c r="M219" s="49"/>
      <c r="N219" s="49">
        <f>M219*I219</f>
        <v>0</v>
      </c>
    </row>
    <row r="220" spans="2:14">
      <c r="B220" s="2">
        <v>2022</v>
      </c>
      <c r="C220" s="2" t="s">
        <v>27</v>
      </c>
      <c r="D220" s="12" t="s">
        <v>15</v>
      </c>
      <c r="E220" s="12" t="s">
        <v>15</v>
      </c>
      <c r="F220" t="s">
        <v>32</v>
      </c>
      <c r="G220" s="3">
        <v>0.14640078684071758</v>
      </c>
      <c r="H220" s="13">
        <v>673694</v>
      </c>
      <c r="I220" s="13">
        <f t="shared" si="6"/>
        <v>98629.331689870392</v>
      </c>
      <c r="K220" s="58">
        <f t="shared" si="7"/>
        <v>0</v>
      </c>
      <c r="L220" s="56"/>
      <c r="M220" s="49"/>
      <c r="N220" s="49">
        <f>M220*I220</f>
        <v>0</v>
      </c>
    </row>
    <row r="221" spans="2:14">
      <c r="B221" s="2">
        <v>2022</v>
      </c>
      <c r="C221" s="2" t="s">
        <v>27</v>
      </c>
      <c r="D221" s="12" t="s">
        <v>15</v>
      </c>
      <c r="E221" s="12" t="s">
        <v>15</v>
      </c>
      <c r="F221" t="s">
        <v>33</v>
      </c>
      <c r="G221" s="3">
        <v>0.10736057701652624</v>
      </c>
      <c r="H221" s="13">
        <v>673694</v>
      </c>
      <c r="I221" s="13">
        <f t="shared" si="6"/>
        <v>72328.176572571625</v>
      </c>
      <c r="K221" s="58">
        <f t="shared" si="7"/>
        <v>0</v>
      </c>
      <c r="L221" s="56"/>
      <c r="M221" s="49"/>
      <c r="N221" s="49">
        <f>M221*I221</f>
        <v>0</v>
      </c>
    </row>
    <row r="222" spans="2:14">
      <c r="B222" s="2">
        <v>2022</v>
      </c>
      <c r="C222" s="2" t="s">
        <v>27</v>
      </c>
      <c r="D222" s="12" t="s">
        <v>15</v>
      </c>
      <c r="E222" s="12" t="s">
        <v>15</v>
      </c>
      <c r="F222" t="s">
        <v>34</v>
      </c>
      <c r="G222" s="3">
        <v>0.37088199332981786</v>
      </c>
      <c r="H222" s="13">
        <v>673694</v>
      </c>
      <c r="I222" s="13">
        <f t="shared" si="6"/>
        <v>249860.97361433832</v>
      </c>
      <c r="K222" s="58">
        <f t="shared" si="7"/>
        <v>0</v>
      </c>
      <c r="L222" s="56"/>
      <c r="M222" s="49"/>
      <c r="N222" s="49">
        <f>M222*I222</f>
        <v>0</v>
      </c>
    </row>
    <row r="223" spans="2:14">
      <c r="B223" s="2">
        <v>2022</v>
      </c>
      <c r="C223" s="2" t="s">
        <v>27</v>
      </c>
      <c r="D223" s="12" t="s">
        <v>15</v>
      </c>
      <c r="E223" s="12" t="s">
        <v>15</v>
      </c>
      <c r="F223" t="s">
        <v>35</v>
      </c>
      <c r="G223" s="3">
        <v>9.7600524560478394E-2</v>
      </c>
      <c r="H223" s="13">
        <v>673694</v>
      </c>
      <c r="I223" s="13">
        <f t="shared" si="6"/>
        <v>65752.887793246933</v>
      </c>
      <c r="K223" s="58">
        <f t="shared" si="7"/>
        <v>0</v>
      </c>
      <c r="L223" s="56"/>
      <c r="M223" s="49"/>
      <c r="N223" s="49">
        <f>M223*I223</f>
        <v>0</v>
      </c>
    </row>
    <row r="224" spans="2:14">
      <c r="B224" s="2">
        <v>2022</v>
      </c>
      <c r="C224" s="2" t="s">
        <v>27</v>
      </c>
      <c r="D224" s="12" t="s">
        <v>15</v>
      </c>
      <c r="E224" s="12" t="s">
        <v>15</v>
      </c>
      <c r="F224" t="s">
        <v>36</v>
      </c>
      <c r="G224" s="3">
        <v>0.11712062947257405</v>
      </c>
      <c r="H224" s="13">
        <v>673694</v>
      </c>
      <c r="I224" s="13">
        <f t="shared" si="6"/>
        <v>78903.465351896302</v>
      </c>
      <c r="K224" s="58">
        <f t="shared" si="7"/>
        <v>0</v>
      </c>
      <c r="L224" s="56"/>
      <c r="M224" s="49"/>
      <c r="N224" s="49">
        <f>M224*I224</f>
        <v>0</v>
      </c>
    </row>
    <row r="225" spans="2:14">
      <c r="B225" s="2">
        <v>2022</v>
      </c>
      <c r="C225" s="2" t="s">
        <v>27</v>
      </c>
      <c r="D225" s="12" t="s">
        <v>15</v>
      </c>
      <c r="E225" s="12" t="s">
        <v>15</v>
      </c>
      <c r="F225" t="s">
        <v>37</v>
      </c>
      <c r="G225" s="3">
        <v>0.13664073438466978</v>
      </c>
      <c r="H225" s="13">
        <v>673694</v>
      </c>
      <c r="I225" s="13">
        <f t="shared" si="6"/>
        <v>92054.04291054573</v>
      </c>
      <c r="K225" s="58">
        <f t="shared" si="7"/>
        <v>0</v>
      </c>
      <c r="L225" s="56"/>
      <c r="M225" s="49"/>
      <c r="N225" s="49">
        <f>M225*I225</f>
        <v>0</v>
      </c>
    </row>
    <row r="226" spans="2:14">
      <c r="B226" s="2">
        <v>2022</v>
      </c>
      <c r="C226" s="2" t="s">
        <v>27</v>
      </c>
      <c r="D226" s="12" t="s">
        <v>15</v>
      </c>
      <c r="E226" s="12" t="s">
        <v>15</v>
      </c>
      <c r="F226" s="9" t="s">
        <v>38</v>
      </c>
      <c r="G226" s="10">
        <v>1</v>
      </c>
      <c r="H226" s="13">
        <v>673694</v>
      </c>
      <c r="I226" s="13">
        <f t="shared" si="6"/>
        <v>673694</v>
      </c>
      <c r="J226" s="29">
        <v>115284.20080276192</v>
      </c>
      <c r="K226" s="58">
        <f t="shared" si="7"/>
        <v>5.8437669282420872</v>
      </c>
      <c r="L226" s="56"/>
      <c r="M226" s="49"/>
      <c r="N226" s="49">
        <f>M226*I226</f>
        <v>0</v>
      </c>
    </row>
    <row r="227" spans="2:14">
      <c r="B227" s="2">
        <v>2022</v>
      </c>
      <c r="C227" s="2" t="s">
        <v>28</v>
      </c>
      <c r="D227" s="12" t="s">
        <v>15</v>
      </c>
      <c r="E227" s="12" t="s">
        <v>15</v>
      </c>
      <c r="F227" t="s">
        <v>32</v>
      </c>
      <c r="G227" s="3">
        <v>0.14640078684071758</v>
      </c>
      <c r="H227" s="13">
        <v>624137</v>
      </c>
      <c r="I227" s="13">
        <f t="shared" si="6"/>
        <v>91374.147896404946</v>
      </c>
      <c r="K227" s="58">
        <f t="shared" si="7"/>
        <v>0</v>
      </c>
      <c r="L227" s="56"/>
      <c r="M227" s="49"/>
      <c r="N227" s="49">
        <f>M227*I227</f>
        <v>0</v>
      </c>
    </row>
    <row r="228" spans="2:14">
      <c r="B228" s="2">
        <v>2022</v>
      </c>
      <c r="C228" s="2" t="s">
        <v>28</v>
      </c>
      <c r="D228" s="12" t="s">
        <v>15</v>
      </c>
      <c r="E228" s="12" t="s">
        <v>15</v>
      </c>
      <c r="F228" t="s">
        <v>33</v>
      </c>
      <c r="G228" s="3">
        <v>0.10736057701652624</v>
      </c>
      <c r="H228" s="13">
        <v>624137</v>
      </c>
      <c r="I228" s="13">
        <f t="shared" si="6"/>
        <v>67007.708457363638</v>
      </c>
      <c r="K228" s="58">
        <f t="shared" si="7"/>
        <v>0</v>
      </c>
      <c r="L228" s="56"/>
      <c r="M228" s="49"/>
      <c r="N228" s="49">
        <f>M228*I228</f>
        <v>0</v>
      </c>
    </row>
    <row r="229" spans="2:14">
      <c r="B229" s="2">
        <v>2022</v>
      </c>
      <c r="C229" s="2" t="s">
        <v>28</v>
      </c>
      <c r="D229" s="12" t="s">
        <v>15</v>
      </c>
      <c r="E229" s="12" t="s">
        <v>15</v>
      </c>
      <c r="F229" t="s">
        <v>34</v>
      </c>
      <c r="G229" s="3">
        <v>0.37088199332981786</v>
      </c>
      <c r="H229" s="13">
        <v>624137</v>
      </c>
      <c r="I229" s="13">
        <f t="shared" si="6"/>
        <v>231481.17467089253</v>
      </c>
      <c r="K229" s="58">
        <f t="shared" si="7"/>
        <v>0</v>
      </c>
      <c r="L229" s="56"/>
      <c r="M229" s="49"/>
      <c r="N229" s="49">
        <f>M229*I229</f>
        <v>0</v>
      </c>
    </row>
    <row r="230" spans="2:14">
      <c r="B230" s="2">
        <v>2022</v>
      </c>
      <c r="C230" s="2" t="s">
        <v>28</v>
      </c>
      <c r="D230" s="12" t="s">
        <v>15</v>
      </c>
      <c r="E230" s="12" t="s">
        <v>15</v>
      </c>
      <c r="F230" t="s">
        <v>35</v>
      </c>
      <c r="G230" s="3">
        <v>9.7600524560478394E-2</v>
      </c>
      <c r="H230" s="13">
        <v>624137</v>
      </c>
      <c r="I230" s="13">
        <f t="shared" si="6"/>
        <v>60916.098597603304</v>
      </c>
      <c r="K230" s="58">
        <f t="shared" si="7"/>
        <v>0</v>
      </c>
      <c r="L230" s="56"/>
      <c r="M230" s="49"/>
      <c r="N230" s="49">
        <f>M230*I230</f>
        <v>0</v>
      </c>
    </row>
    <row r="231" spans="2:14">
      <c r="B231" s="2">
        <v>2022</v>
      </c>
      <c r="C231" s="2" t="s">
        <v>28</v>
      </c>
      <c r="D231" s="12" t="s">
        <v>15</v>
      </c>
      <c r="E231" s="12" t="s">
        <v>15</v>
      </c>
      <c r="F231" t="s">
        <v>36</v>
      </c>
      <c r="G231" s="3">
        <v>0.11712062947257405</v>
      </c>
      <c r="H231" s="13">
        <v>624137</v>
      </c>
      <c r="I231" s="13">
        <f t="shared" si="6"/>
        <v>73099.318317123951</v>
      </c>
      <c r="K231" s="58">
        <f t="shared" si="7"/>
        <v>0</v>
      </c>
      <c r="L231" s="56"/>
      <c r="M231" s="49"/>
      <c r="N231" s="49">
        <f>M231*I231</f>
        <v>0</v>
      </c>
    </row>
    <row r="232" spans="2:14">
      <c r="B232" s="2">
        <v>2022</v>
      </c>
      <c r="C232" s="2" t="s">
        <v>28</v>
      </c>
      <c r="D232" s="12" t="s">
        <v>15</v>
      </c>
      <c r="E232" s="12" t="s">
        <v>15</v>
      </c>
      <c r="F232" t="s">
        <v>37</v>
      </c>
      <c r="G232" s="3">
        <v>0.13664073438466978</v>
      </c>
      <c r="H232" s="13">
        <v>624137</v>
      </c>
      <c r="I232" s="13">
        <f t="shared" si="6"/>
        <v>85282.538036644648</v>
      </c>
      <c r="K232" s="58">
        <f t="shared" si="7"/>
        <v>0</v>
      </c>
      <c r="L232" s="56"/>
      <c r="M232" s="49"/>
      <c r="N232" s="49">
        <f>M232*I232</f>
        <v>0</v>
      </c>
    </row>
    <row r="233" spans="2:14">
      <c r="B233" s="2">
        <v>2022</v>
      </c>
      <c r="C233" s="2" t="s">
        <v>28</v>
      </c>
      <c r="D233" s="12" t="s">
        <v>15</v>
      </c>
      <c r="E233" s="12" t="s">
        <v>15</v>
      </c>
      <c r="F233" s="9" t="s">
        <v>38</v>
      </c>
      <c r="G233" s="10">
        <v>1</v>
      </c>
      <c r="H233" s="13">
        <v>624137</v>
      </c>
      <c r="I233" s="13">
        <f t="shared" si="6"/>
        <v>624137</v>
      </c>
      <c r="J233" s="29">
        <v>110948.89443259149</v>
      </c>
      <c r="K233" s="58">
        <f t="shared" si="7"/>
        <v>5.6254458702984458</v>
      </c>
      <c r="L233" s="56"/>
      <c r="M233" s="49"/>
      <c r="N233" s="49">
        <f>M233*I233</f>
        <v>0</v>
      </c>
    </row>
    <row r="234" spans="2:14">
      <c r="B234" s="2">
        <v>2022</v>
      </c>
      <c r="C234" s="2" t="s">
        <v>29</v>
      </c>
      <c r="D234" s="12" t="s">
        <v>15</v>
      </c>
      <c r="E234" s="12" t="s">
        <v>15</v>
      </c>
      <c r="F234" t="s">
        <v>32</v>
      </c>
      <c r="G234" s="3">
        <v>0.14640078684071758</v>
      </c>
      <c r="H234" s="13">
        <v>655907</v>
      </c>
      <c r="I234" s="13">
        <f t="shared" si="6"/>
        <v>96025.300894334549</v>
      </c>
      <c r="K234" s="58">
        <f t="shared" si="7"/>
        <v>0</v>
      </c>
      <c r="L234" s="56"/>
      <c r="M234" s="49"/>
      <c r="N234" s="49">
        <f>M234*I234</f>
        <v>0</v>
      </c>
    </row>
    <row r="235" spans="2:14">
      <c r="B235" s="2">
        <v>2022</v>
      </c>
      <c r="C235" s="2" t="s">
        <v>29</v>
      </c>
      <c r="D235" s="12" t="s">
        <v>15</v>
      </c>
      <c r="E235" s="12" t="s">
        <v>15</v>
      </c>
      <c r="F235" t="s">
        <v>33</v>
      </c>
      <c r="G235" s="3">
        <v>0.10736057701652624</v>
      </c>
      <c r="H235" s="13">
        <v>655907</v>
      </c>
      <c r="I235" s="13">
        <f t="shared" si="6"/>
        <v>70418.553989178676</v>
      </c>
      <c r="K235" s="58">
        <f t="shared" si="7"/>
        <v>0</v>
      </c>
      <c r="L235" s="56"/>
      <c r="M235" s="49"/>
      <c r="N235" s="49">
        <f>M235*I235</f>
        <v>0</v>
      </c>
    </row>
    <row r="236" spans="2:14">
      <c r="B236" s="2">
        <v>2022</v>
      </c>
      <c r="C236" s="2" t="s">
        <v>29</v>
      </c>
      <c r="D236" s="12" t="s">
        <v>15</v>
      </c>
      <c r="E236" s="12" t="s">
        <v>15</v>
      </c>
      <c r="F236" t="s">
        <v>34</v>
      </c>
      <c r="G236" s="3">
        <v>0.37088199332981786</v>
      </c>
      <c r="H236" s="13">
        <v>655907</v>
      </c>
      <c r="I236" s="13">
        <f t="shared" si="6"/>
        <v>243264.09559898084</v>
      </c>
      <c r="K236" s="58">
        <f t="shared" si="7"/>
        <v>0</v>
      </c>
      <c r="L236" s="56"/>
      <c r="M236" s="49"/>
      <c r="N236" s="49">
        <f>M236*I236</f>
        <v>0</v>
      </c>
    </row>
    <row r="237" spans="2:14">
      <c r="B237" s="2">
        <v>2022</v>
      </c>
      <c r="C237" s="2" t="s">
        <v>29</v>
      </c>
      <c r="D237" s="12" t="s">
        <v>15</v>
      </c>
      <c r="E237" s="12" t="s">
        <v>15</v>
      </c>
      <c r="F237" t="s">
        <v>35</v>
      </c>
      <c r="G237" s="3">
        <v>9.7600524560478394E-2</v>
      </c>
      <c r="H237" s="13">
        <v>655907</v>
      </c>
      <c r="I237" s="13">
        <f t="shared" si="6"/>
        <v>64016.867262889704</v>
      </c>
      <c r="K237" s="58">
        <f t="shared" si="7"/>
        <v>0</v>
      </c>
      <c r="L237" s="56"/>
      <c r="M237" s="49"/>
      <c r="N237" s="49">
        <f>M237*I237</f>
        <v>0</v>
      </c>
    </row>
    <row r="238" spans="2:14">
      <c r="B238" s="2">
        <v>2022</v>
      </c>
      <c r="C238" s="2" t="s">
        <v>29</v>
      </c>
      <c r="D238" s="12" t="s">
        <v>15</v>
      </c>
      <c r="E238" s="12" t="s">
        <v>15</v>
      </c>
      <c r="F238" t="s">
        <v>36</v>
      </c>
      <c r="G238" s="3">
        <v>0.11712062947257405</v>
      </c>
      <c r="H238" s="13">
        <v>655907</v>
      </c>
      <c r="I238" s="13">
        <f t="shared" si="6"/>
        <v>76820.240715467633</v>
      </c>
      <c r="K238" s="58">
        <f t="shared" si="7"/>
        <v>0</v>
      </c>
      <c r="L238" s="56"/>
      <c r="M238" s="49"/>
      <c r="N238" s="49">
        <f>M238*I238</f>
        <v>0</v>
      </c>
    </row>
    <row r="239" spans="2:14">
      <c r="B239" s="2">
        <v>2022</v>
      </c>
      <c r="C239" s="2" t="s">
        <v>29</v>
      </c>
      <c r="D239" s="12" t="s">
        <v>15</v>
      </c>
      <c r="E239" s="12" t="s">
        <v>15</v>
      </c>
      <c r="F239" t="s">
        <v>37</v>
      </c>
      <c r="G239" s="3">
        <v>0.13664073438466978</v>
      </c>
      <c r="H239" s="13">
        <v>655907</v>
      </c>
      <c r="I239" s="13">
        <f t="shared" si="6"/>
        <v>89623.614168045606</v>
      </c>
      <c r="K239" s="58">
        <f t="shared" si="7"/>
        <v>0</v>
      </c>
      <c r="L239" s="56"/>
      <c r="M239" s="49"/>
      <c r="N239" s="49">
        <f>M239*I239</f>
        <v>0</v>
      </c>
    </row>
    <row r="240" spans="2:14">
      <c r="B240" s="2">
        <v>2022</v>
      </c>
      <c r="C240" s="2" t="s">
        <v>29</v>
      </c>
      <c r="D240" s="12" t="s">
        <v>15</v>
      </c>
      <c r="E240" s="12" t="s">
        <v>15</v>
      </c>
      <c r="F240" s="9" t="s">
        <v>38</v>
      </c>
      <c r="G240" s="10">
        <v>1</v>
      </c>
      <c r="H240" s="13">
        <v>655907</v>
      </c>
      <c r="I240" s="13">
        <f t="shared" si="6"/>
        <v>655907</v>
      </c>
      <c r="J240" s="29">
        <v>114327.23846539599</v>
      </c>
      <c r="K240" s="58">
        <f t="shared" si="7"/>
        <v>5.7371017511153015</v>
      </c>
      <c r="L240" s="56"/>
      <c r="M240" s="49"/>
      <c r="N240" s="49">
        <f>M240*I240</f>
        <v>0</v>
      </c>
    </row>
    <row r="241" spans="2:14">
      <c r="B241" s="2">
        <v>2022</v>
      </c>
      <c r="C241" s="2" t="s">
        <v>30</v>
      </c>
      <c r="D241" s="12" t="s">
        <v>15</v>
      </c>
      <c r="E241" s="12" t="s">
        <v>15</v>
      </c>
      <c r="F241" t="s">
        <v>32</v>
      </c>
      <c r="G241" s="3">
        <v>0.14640078684071758</v>
      </c>
      <c r="H241" s="13">
        <v>649064</v>
      </c>
      <c r="I241" s="13">
        <f t="shared" si="6"/>
        <v>95023.480309983512</v>
      </c>
      <c r="K241" s="58">
        <f t="shared" si="7"/>
        <v>0</v>
      </c>
      <c r="L241" s="56"/>
      <c r="M241" s="49"/>
      <c r="N241" s="49">
        <f>M241*I241</f>
        <v>0</v>
      </c>
    </row>
    <row r="242" spans="2:14">
      <c r="B242" s="2">
        <v>2022</v>
      </c>
      <c r="C242" s="2" t="s">
        <v>30</v>
      </c>
      <c r="D242" s="12" t="s">
        <v>15</v>
      </c>
      <c r="E242" s="12" t="s">
        <v>15</v>
      </c>
      <c r="F242" t="s">
        <v>33</v>
      </c>
      <c r="G242" s="3">
        <v>0.10736057701652624</v>
      </c>
      <c r="H242" s="13">
        <v>649064</v>
      </c>
      <c r="I242" s="13">
        <f t="shared" si="6"/>
        <v>69683.885560654584</v>
      </c>
      <c r="K242" s="58">
        <f t="shared" si="7"/>
        <v>0</v>
      </c>
      <c r="L242" s="56"/>
      <c r="M242" s="49"/>
      <c r="N242" s="49">
        <f>M242*I242</f>
        <v>0</v>
      </c>
    </row>
    <row r="243" spans="2:14">
      <c r="B243" s="2">
        <v>2022</v>
      </c>
      <c r="C243" s="2" t="s">
        <v>30</v>
      </c>
      <c r="D243" s="12" t="s">
        <v>15</v>
      </c>
      <c r="E243" s="12" t="s">
        <v>15</v>
      </c>
      <c r="F243" t="s">
        <v>34</v>
      </c>
      <c r="G243" s="3">
        <v>0.37088199332981786</v>
      </c>
      <c r="H243" s="13">
        <v>649064</v>
      </c>
      <c r="I243" s="13">
        <f t="shared" si="6"/>
        <v>240726.15011862491</v>
      </c>
      <c r="K243" s="58">
        <f t="shared" si="7"/>
        <v>0</v>
      </c>
      <c r="L243" s="56"/>
      <c r="M243" s="49"/>
      <c r="N243" s="49">
        <f>M243*I243</f>
        <v>0</v>
      </c>
    </row>
    <row r="244" spans="2:14">
      <c r="B244" s="2">
        <v>2022</v>
      </c>
      <c r="C244" s="2" t="s">
        <v>30</v>
      </c>
      <c r="D244" s="12" t="s">
        <v>15</v>
      </c>
      <c r="E244" s="12" t="s">
        <v>15</v>
      </c>
      <c r="F244" t="s">
        <v>35</v>
      </c>
      <c r="G244" s="3">
        <v>9.7600524560478394E-2</v>
      </c>
      <c r="H244" s="13">
        <v>649064</v>
      </c>
      <c r="I244" s="13">
        <f t="shared" si="6"/>
        <v>63348.986873322348</v>
      </c>
      <c r="K244" s="58">
        <f t="shared" si="7"/>
        <v>0</v>
      </c>
      <c r="L244" s="56"/>
      <c r="M244" s="49"/>
      <c r="N244" s="49">
        <f>M244*I244</f>
        <v>0</v>
      </c>
    </row>
    <row r="245" spans="2:14">
      <c r="B245" s="2">
        <v>2022</v>
      </c>
      <c r="C245" s="2" t="s">
        <v>30</v>
      </c>
      <c r="D245" s="12" t="s">
        <v>15</v>
      </c>
      <c r="E245" s="12" t="s">
        <v>15</v>
      </c>
      <c r="F245" t="s">
        <v>36</v>
      </c>
      <c r="G245" s="3">
        <v>0.11712062947257405</v>
      </c>
      <c r="H245" s="13">
        <v>649064</v>
      </c>
      <c r="I245" s="13">
        <f t="shared" si="6"/>
        <v>76018.784247986812</v>
      </c>
      <c r="K245" s="58">
        <f t="shared" si="7"/>
        <v>0</v>
      </c>
      <c r="L245" s="56"/>
      <c r="M245" s="49"/>
      <c r="N245" s="49">
        <f>M245*I245</f>
        <v>0</v>
      </c>
    </row>
    <row r="246" spans="2:14">
      <c r="B246" s="2">
        <v>2022</v>
      </c>
      <c r="C246" s="2" t="s">
        <v>30</v>
      </c>
      <c r="D246" s="12" t="s">
        <v>15</v>
      </c>
      <c r="E246" s="12" t="s">
        <v>15</v>
      </c>
      <c r="F246" t="s">
        <v>37</v>
      </c>
      <c r="G246" s="3">
        <v>0.13664073438466978</v>
      </c>
      <c r="H246" s="13">
        <v>649064</v>
      </c>
      <c r="I246" s="13">
        <f t="shared" si="6"/>
        <v>88688.581622651313</v>
      </c>
      <c r="K246" s="58">
        <f t="shared" si="7"/>
        <v>0</v>
      </c>
      <c r="L246" s="56"/>
      <c r="M246" s="49"/>
      <c r="N246" s="49">
        <f>M246*I246</f>
        <v>0</v>
      </c>
    </row>
    <row r="247" spans="2:14">
      <c r="B247" s="2">
        <v>2022</v>
      </c>
      <c r="C247" s="2" t="s">
        <v>30</v>
      </c>
      <c r="D247" s="12" t="s">
        <v>15</v>
      </c>
      <c r="E247" s="12" t="s">
        <v>15</v>
      </c>
      <c r="F247" s="9" t="s">
        <v>38</v>
      </c>
      <c r="G247" s="10">
        <v>1</v>
      </c>
      <c r="H247" s="13">
        <v>649064</v>
      </c>
      <c r="I247" s="13">
        <f t="shared" si="6"/>
        <v>649064</v>
      </c>
      <c r="J247" s="29">
        <v>109783.78341468421</v>
      </c>
      <c r="K247" s="58">
        <f t="shared" si="7"/>
        <v>5.9122028756132661</v>
      </c>
      <c r="L247" s="56"/>
      <c r="M247" s="49"/>
      <c r="N247" s="49">
        <f>M247*I247</f>
        <v>0</v>
      </c>
    </row>
    <row r="248" spans="2:14">
      <c r="B248" s="2">
        <v>2022</v>
      </c>
      <c r="C248" s="2" t="s">
        <v>31</v>
      </c>
      <c r="D248" s="12" t="s">
        <v>15</v>
      </c>
      <c r="E248" s="12" t="s">
        <v>15</v>
      </c>
      <c r="F248" t="s">
        <v>32</v>
      </c>
      <c r="G248" s="3">
        <v>0.14640078684071758</v>
      </c>
      <c r="H248" s="13">
        <v>550845</v>
      </c>
      <c r="I248" s="13">
        <f t="shared" si="6"/>
        <v>80644.141427275084</v>
      </c>
      <c r="K248" s="58">
        <f t="shared" si="7"/>
        <v>0</v>
      </c>
      <c r="L248" s="56"/>
      <c r="M248" s="49"/>
      <c r="N248" s="49">
        <f>M248*I248</f>
        <v>0</v>
      </c>
    </row>
    <row r="249" spans="2:14">
      <c r="B249" s="2">
        <v>2022</v>
      </c>
      <c r="C249" s="2" t="s">
        <v>31</v>
      </c>
      <c r="D249" s="12" t="s">
        <v>15</v>
      </c>
      <c r="E249" s="12" t="s">
        <v>15</v>
      </c>
      <c r="F249" t="s">
        <v>33</v>
      </c>
      <c r="G249" s="3">
        <v>0.10736057701652624</v>
      </c>
      <c r="H249" s="13">
        <v>550845</v>
      </c>
      <c r="I249" s="13">
        <f t="shared" si="6"/>
        <v>59139.037046668396</v>
      </c>
      <c r="K249" s="58">
        <f t="shared" si="7"/>
        <v>0</v>
      </c>
      <c r="L249" s="56"/>
      <c r="M249" s="49"/>
      <c r="N249" s="49">
        <f>M249*I249</f>
        <v>0</v>
      </c>
    </row>
    <row r="250" spans="2:14">
      <c r="B250" s="2">
        <v>2022</v>
      </c>
      <c r="C250" s="2" t="s">
        <v>31</v>
      </c>
      <c r="D250" s="12" t="s">
        <v>15</v>
      </c>
      <c r="E250" s="12" t="s">
        <v>15</v>
      </c>
      <c r="F250" t="s">
        <v>34</v>
      </c>
      <c r="G250" s="3">
        <v>0.37088199332981786</v>
      </c>
      <c r="H250" s="13">
        <v>550845</v>
      </c>
      <c r="I250" s="13">
        <f t="shared" si="6"/>
        <v>204298.49161576352</v>
      </c>
      <c r="K250" s="58">
        <f t="shared" si="7"/>
        <v>0</v>
      </c>
      <c r="L250" s="56"/>
      <c r="M250" s="49"/>
      <c r="N250" s="49">
        <f>M250*I250</f>
        <v>0</v>
      </c>
    </row>
    <row r="251" spans="2:14">
      <c r="B251" s="2">
        <v>2022</v>
      </c>
      <c r="C251" s="2" t="s">
        <v>31</v>
      </c>
      <c r="D251" s="12" t="s">
        <v>15</v>
      </c>
      <c r="E251" s="12" t="s">
        <v>15</v>
      </c>
      <c r="F251" t="s">
        <v>35</v>
      </c>
      <c r="G251" s="3">
        <v>9.7600524560478394E-2</v>
      </c>
      <c r="H251" s="13">
        <v>550845</v>
      </c>
      <c r="I251" s="13">
        <f t="shared" si="6"/>
        <v>53762.760951516721</v>
      </c>
      <c r="K251" s="58">
        <f t="shared" si="7"/>
        <v>0</v>
      </c>
      <c r="L251" s="56"/>
      <c r="M251" s="49"/>
      <c r="N251" s="49">
        <f>M251*I251</f>
        <v>0</v>
      </c>
    </row>
    <row r="252" spans="2:14">
      <c r="B252" s="2">
        <v>2022</v>
      </c>
      <c r="C252" s="2" t="s">
        <v>31</v>
      </c>
      <c r="D252" s="12" t="s">
        <v>15</v>
      </c>
      <c r="E252" s="12" t="s">
        <v>15</v>
      </c>
      <c r="F252" t="s">
        <v>36</v>
      </c>
      <c r="G252" s="3">
        <v>0.11712062947257405</v>
      </c>
      <c r="H252" s="13">
        <v>550845</v>
      </c>
      <c r="I252" s="13">
        <f t="shared" si="6"/>
        <v>64515.313141820057</v>
      </c>
      <c r="K252" s="58">
        <f t="shared" si="7"/>
        <v>0</v>
      </c>
      <c r="L252" s="56"/>
      <c r="M252" s="49"/>
      <c r="N252" s="49">
        <f>M252*I252</f>
        <v>0</v>
      </c>
    </row>
    <row r="253" spans="2:14">
      <c r="B253" s="2">
        <v>2022</v>
      </c>
      <c r="C253" s="2" t="s">
        <v>31</v>
      </c>
      <c r="D253" s="12" t="s">
        <v>15</v>
      </c>
      <c r="E253" s="12" t="s">
        <v>15</v>
      </c>
      <c r="F253" t="s">
        <v>37</v>
      </c>
      <c r="G253" s="3">
        <v>0.13664073438466978</v>
      </c>
      <c r="H253" s="13">
        <v>550845</v>
      </c>
      <c r="I253" s="13">
        <f t="shared" si="6"/>
        <v>75267.865332123431</v>
      </c>
      <c r="K253" s="58">
        <f t="shared" si="7"/>
        <v>0</v>
      </c>
      <c r="L253" s="56"/>
      <c r="M253" s="49"/>
      <c r="N253" s="49">
        <f>M253*I253</f>
        <v>0</v>
      </c>
    </row>
    <row r="254" spans="2:14">
      <c r="B254" s="2">
        <v>2022</v>
      </c>
      <c r="C254" s="2" t="s">
        <v>31</v>
      </c>
      <c r="D254" s="12" t="s">
        <v>15</v>
      </c>
      <c r="E254" s="12" t="s">
        <v>15</v>
      </c>
      <c r="F254" s="9" t="s">
        <v>38</v>
      </c>
      <c r="G254" s="10">
        <v>1</v>
      </c>
      <c r="H254" s="13">
        <v>550845</v>
      </c>
      <c r="I254" s="13">
        <f t="shared" si="6"/>
        <v>550845</v>
      </c>
      <c r="J254" s="29">
        <v>91559.133256370929</v>
      </c>
      <c r="K254" s="58">
        <f t="shared" si="7"/>
        <v>6.0162758253466837</v>
      </c>
      <c r="L254" s="56"/>
      <c r="M254" s="49"/>
      <c r="N254" s="49">
        <f>M254*I254</f>
        <v>0</v>
      </c>
    </row>
    <row r="255" spans="2:14">
      <c r="B255" s="2">
        <v>2022</v>
      </c>
      <c r="C255" s="2" t="s">
        <v>14</v>
      </c>
      <c r="D255" s="12" t="s">
        <v>15</v>
      </c>
      <c r="E255" s="12" t="s">
        <v>15</v>
      </c>
      <c r="F255" t="s">
        <v>32</v>
      </c>
      <c r="G255" s="3">
        <v>0.14640078684071758</v>
      </c>
      <c r="H255" s="13">
        <v>588630</v>
      </c>
      <c r="I255" s="13">
        <f t="shared" si="6"/>
        <v>86175.895158051586</v>
      </c>
      <c r="K255" s="58">
        <f t="shared" si="7"/>
        <v>0</v>
      </c>
      <c r="L255" s="56"/>
      <c r="M255" s="49"/>
      <c r="N255" s="49">
        <f>M255*I255</f>
        <v>0</v>
      </c>
    </row>
    <row r="256" spans="2:14">
      <c r="B256" s="2">
        <v>2022</v>
      </c>
      <c r="C256" s="2" t="s">
        <v>14</v>
      </c>
      <c r="D256" s="12" t="s">
        <v>15</v>
      </c>
      <c r="E256" s="12" t="s">
        <v>15</v>
      </c>
      <c r="F256" t="s">
        <v>33</v>
      </c>
      <c r="G256" s="3">
        <v>0.10736057701652624</v>
      </c>
      <c r="H256" s="13">
        <v>588630</v>
      </c>
      <c r="I256" s="13">
        <f t="shared" si="6"/>
        <v>63195.656449237838</v>
      </c>
      <c r="K256" s="58">
        <f t="shared" si="7"/>
        <v>0</v>
      </c>
      <c r="L256" s="56"/>
      <c r="M256" s="49"/>
      <c r="N256" s="49">
        <f>M256*I256</f>
        <v>0</v>
      </c>
    </row>
    <row r="257" spans="2:14">
      <c r="B257" s="2">
        <v>2022</v>
      </c>
      <c r="C257" s="2" t="s">
        <v>14</v>
      </c>
      <c r="D257" s="12" t="s">
        <v>15</v>
      </c>
      <c r="E257" s="12" t="s">
        <v>15</v>
      </c>
      <c r="F257" t="s">
        <v>34</v>
      </c>
      <c r="G257" s="3">
        <v>0.37088199332981786</v>
      </c>
      <c r="H257" s="13">
        <v>588630</v>
      </c>
      <c r="I257" s="13">
        <f t="shared" si="6"/>
        <v>218312.2677337307</v>
      </c>
      <c r="K257" s="58">
        <f t="shared" si="7"/>
        <v>0</v>
      </c>
      <c r="L257" s="56"/>
      <c r="M257" s="49"/>
      <c r="N257" s="49">
        <f>M257*I257</f>
        <v>0</v>
      </c>
    </row>
    <row r="258" spans="2:14">
      <c r="B258" s="2">
        <v>2022</v>
      </c>
      <c r="C258" s="2" t="s">
        <v>14</v>
      </c>
      <c r="D258" s="12" t="s">
        <v>15</v>
      </c>
      <c r="E258" s="12" t="s">
        <v>15</v>
      </c>
      <c r="F258" t="s">
        <v>35</v>
      </c>
      <c r="G258" s="3">
        <v>9.7600524560478394E-2</v>
      </c>
      <c r="H258" s="13">
        <v>588630</v>
      </c>
      <c r="I258" s="13">
        <f t="shared" si="6"/>
        <v>57450.596772034398</v>
      </c>
      <c r="K258" s="58">
        <f t="shared" si="7"/>
        <v>0</v>
      </c>
      <c r="L258" s="56"/>
      <c r="M258" s="49"/>
      <c r="N258" s="49">
        <f>M258*I258</f>
        <v>0</v>
      </c>
    </row>
    <row r="259" spans="2:14">
      <c r="B259" s="2">
        <v>2022</v>
      </c>
      <c r="C259" s="2" t="s">
        <v>14</v>
      </c>
      <c r="D259" s="12" t="s">
        <v>15</v>
      </c>
      <c r="E259" s="12" t="s">
        <v>15</v>
      </c>
      <c r="F259" t="s">
        <v>36</v>
      </c>
      <c r="G259" s="3">
        <v>0.11712062947257405</v>
      </c>
      <c r="H259" s="13">
        <v>588630</v>
      </c>
      <c r="I259" s="13">
        <f t="shared" ref="I259:I322" si="8">G259*H259</f>
        <v>68940.716126441272</v>
      </c>
      <c r="K259" s="58">
        <f t="shared" si="7"/>
        <v>0</v>
      </c>
      <c r="L259" s="56"/>
      <c r="M259" s="49"/>
      <c r="N259" s="49">
        <f>M259*I259</f>
        <v>0</v>
      </c>
    </row>
    <row r="260" spans="2:14">
      <c r="B260" s="2">
        <v>2022</v>
      </c>
      <c r="C260" s="2" t="s">
        <v>14</v>
      </c>
      <c r="D260" s="12" t="s">
        <v>15</v>
      </c>
      <c r="E260" s="12" t="s">
        <v>15</v>
      </c>
      <c r="F260" t="s">
        <v>37</v>
      </c>
      <c r="G260" s="3">
        <v>0.13664073438466978</v>
      </c>
      <c r="H260" s="13">
        <v>588630</v>
      </c>
      <c r="I260" s="13">
        <f t="shared" si="8"/>
        <v>80430.835480848167</v>
      </c>
      <c r="K260" s="58">
        <f t="shared" ref="K260:K323" si="9">IFERROR(I260/J260,0)</f>
        <v>0</v>
      </c>
      <c r="L260" s="56"/>
      <c r="M260" s="49"/>
      <c r="N260" s="49">
        <f>M260*I260</f>
        <v>0</v>
      </c>
    </row>
    <row r="261" spans="2:14">
      <c r="B261" s="2">
        <v>2022</v>
      </c>
      <c r="C261" s="2" t="s">
        <v>14</v>
      </c>
      <c r="D261" s="12" t="s">
        <v>15</v>
      </c>
      <c r="E261" s="12" t="s">
        <v>15</v>
      </c>
      <c r="F261" s="9" t="s">
        <v>38</v>
      </c>
      <c r="G261" s="10">
        <v>1</v>
      </c>
      <c r="H261" s="13">
        <v>588630</v>
      </c>
      <c r="I261" s="13">
        <f t="shared" si="8"/>
        <v>588630</v>
      </c>
      <c r="J261" s="29">
        <v>105575.33546638848</v>
      </c>
      <c r="K261" s="58">
        <f t="shared" si="9"/>
        <v>5.5754499609181858</v>
      </c>
      <c r="L261" s="56"/>
      <c r="M261" s="49"/>
      <c r="N261" s="49">
        <f>M261*I261</f>
        <v>0</v>
      </c>
    </row>
    <row r="262" spans="2:14">
      <c r="B262" s="2">
        <v>2022</v>
      </c>
      <c r="C262" s="2" t="s">
        <v>21</v>
      </c>
      <c r="D262" s="12" t="s">
        <v>15</v>
      </c>
      <c r="E262" s="12" t="s">
        <v>15</v>
      </c>
      <c r="F262" t="s">
        <v>32</v>
      </c>
      <c r="G262" s="3">
        <v>0.14640078684071758</v>
      </c>
      <c r="H262" s="13">
        <v>599285</v>
      </c>
      <c r="I262" s="13">
        <f t="shared" si="8"/>
        <v>87735.795541839441</v>
      </c>
      <c r="K262" s="58">
        <f t="shared" si="9"/>
        <v>0</v>
      </c>
      <c r="L262" s="56"/>
      <c r="M262" s="49"/>
      <c r="N262" s="49">
        <f>M262*I262</f>
        <v>0</v>
      </c>
    </row>
    <row r="263" spans="2:14">
      <c r="B263" s="2">
        <v>2022</v>
      </c>
      <c r="C263" s="2" t="s">
        <v>21</v>
      </c>
      <c r="D263" s="12" t="s">
        <v>15</v>
      </c>
      <c r="E263" s="12" t="s">
        <v>15</v>
      </c>
      <c r="F263" t="s">
        <v>33</v>
      </c>
      <c r="G263" s="3">
        <v>0.10736057701652624</v>
      </c>
      <c r="H263" s="13">
        <v>599285</v>
      </c>
      <c r="I263" s="13">
        <f t="shared" si="8"/>
        <v>64339.583397348928</v>
      </c>
      <c r="K263" s="58">
        <f t="shared" si="9"/>
        <v>0</v>
      </c>
      <c r="L263" s="56"/>
      <c r="M263" s="49"/>
      <c r="N263" s="49">
        <f>M263*I263</f>
        <v>0</v>
      </c>
    </row>
    <row r="264" spans="2:14">
      <c r="B264" s="2">
        <v>2022</v>
      </c>
      <c r="C264" s="2" t="s">
        <v>21</v>
      </c>
      <c r="D264" s="12" t="s">
        <v>15</v>
      </c>
      <c r="E264" s="12" t="s">
        <v>15</v>
      </c>
      <c r="F264" t="s">
        <v>34</v>
      </c>
      <c r="G264" s="3">
        <v>0.37088199332981786</v>
      </c>
      <c r="H264" s="13">
        <v>599285</v>
      </c>
      <c r="I264" s="13">
        <f t="shared" si="8"/>
        <v>222264.01537265989</v>
      </c>
      <c r="K264" s="58">
        <f t="shared" si="9"/>
        <v>0</v>
      </c>
      <c r="L264" s="56"/>
      <c r="M264" s="49"/>
      <c r="N264" s="49">
        <f>M264*I264</f>
        <v>0</v>
      </c>
    </row>
    <row r="265" spans="2:14">
      <c r="B265" s="2">
        <v>2022</v>
      </c>
      <c r="C265" s="2" t="s">
        <v>21</v>
      </c>
      <c r="D265" s="12" t="s">
        <v>15</v>
      </c>
      <c r="E265" s="12" t="s">
        <v>15</v>
      </c>
      <c r="F265" t="s">
        <v>35</v>
      </c>
      <c r="G265" s="3">
        <v>9.7600524560478394E-2</v>
      </c>
      <c r="H265" s="13">
        <v>599285</v>
      </c>
      <c r="I265" s="13">
        <f t="shared" si="8"/>
        <v>58490.530361226294</v>
      </c>
      <c r="K265" s="58">
        <f t="shared" si="9"/>
        <v>0</v>
      </c>
      <c r="L265" s="56"/>
      <c r="M265" s="49"/>
      <c r="N265" s="49">
        <f>M265*I265</f>
        <v>0</v>
      </c>
    </row>
    <row r="266" spans="2:14">
      <c r="B266" s="2">
        <v>2022</v>
      </c>
      <c r="C266" s="2" t="s">
        <v>21</v>
      </c>
      <c r="D266" s="12" t="s">
        <v>15</v>
      </c>
      <c r="E266" s="12" t="s">
        <v>15</v>
      </c>
      <c r="F266" t="s">
        <v>36</v>
      </c>
      <c r="G266" s="3">
        <v>0.11712062947257405</v>
      </c>
      <c r="H266" s="13">
        <v>599285</v>
      </c>
      <c r="I266" s="13">
        <f t="shared" si="8"/>
        <v>70188.636433471547</v>
      </c>
      <c r="K266" s="58">
        <f t="shared" si="9"/>
        <v>0</v>
      </c>
      <c r="L266" s="56"/>
      <c r="M266" s="49"/>
      <c r="N266" s="49">
        <f>M266*I266</f>
        <v>0</v>
      </c>
    </row>
    <row r="267" spans="2:14">
      <c r="B267" s="2">
        <v>2022</v>
      </c>
      <c r="C267" s="2" t="s">
        <v>21</v>
      </c>
      <c r="D267" s="12" t="s">
        <v>15</v>
      </c>
      <c r="E267" s="12" t="s">
        <v>15</v>
      </c>
      <c r="F267" t="s">
        <v>37</v>
      </c>
      <c r="G267" s="3">
        <v>0.13664073438466978</v>
      </c>
      <c r="H267" s="13">
        <v>599285</v>
      </c>
      <c r="I267" s="13">
        <f t="shared" si="8"/>
        <v>81886.742505716829</v>
      </c>
      <c r="K267" s="58">
        <f t="shared" si="9"/>
        <v>0</v>
      </c>
      <c r="L267" s="56"/>
      <c r="M267" s="49"/>
      <c r="N267" s="49">
        <f>M267*I267</f>
        <v>0</v>
      </c>
    </row>
    <row r="268" spans="2:14">
      <c r="B268" s="2">
        <v>2022</v>
      </c>
      <c r="C268" s="2" t="s">
        <v>21</v>
      </c>
      <c r="D268" s="12" t="s">
        <v>15</v>
      </c>
      <c r="E268" s="12" t="s">
        <v>15</v>
      </c>
      <c r="F268" s="9" t="s">
        <v>38</v>
      </c>
      <c r="G268" s="10">
        <v>1</v>
      </c>
      <c r="H268" s="13">
        <v>599285</v>
      </c>
      <c r="I268" s="13">
        <f t="shared" si="8"/>
        <v>599285</v>
      </c>
      <c r="J268" s="29">
        <v>109123.42540538598</v>
      </c>
      <c r="K268" s="58">
        <f t="shared" si="9"/>
        <v>5.4918089106321366</v>
      </c>
      <c r="L268" s="56"/>
      <c r="M268" s="49"/>
      <c r="N268" s="49">
        <f>M268*I268</f>
        <v>0</v>
      </c>
    </row>
    <row r="269" spans="2:14">
      <c r="B269" s="2">
        <v>2022</v>
      </c>
      <c r="C269" s="2" t="s">
        <v>22</v>
      </c>
      <c r="D269" s="12" t="s">
        <v>15</v>
      </c>
      <c r="E269" s="12" t="s">
        <v>15</v>
      </c>
      <c r="F269" t="s">
        <v>32</v>
      </c>
      <c r="G269" s="3">
        <v>0.14640078684071758</v>
      </c>
      <c r="H269" s="13">
        <v>573694</v>
      </c>
      <c r="I269" s="13">
        <f t="shared" si="8"/>
        <v>83989.25300579863</v>
      </c>
      <c r="K269" s="58">
        <f t="shared" si="9"/>
        <v>0</v>
      </c>
      <c r="L269" s="56"/>
      <c r="M269" s="49"/>
      <c r="N269" s="49">
        <f>M269*I269</f>
        <v>0</v>
      </c>
    </row>
    <row r="270" spans="2:14">
      <c r="B270" s="2">
        <v>2022</v>
      </c>
      <c r="C270" s="2" t="s">
        <v>22</v>
      </c>
      <c r="D270" s="12" t="s">
        <v>15</v>
      </c>
      <c r="E270" s="12" t="s">
        <v>15</v>
      </c>
      <c r="F270" t="s">
        <v>33</v>
      </c>
      <c r="G270" s="3">
        <v>0.10736057701652624</v>
      </c>
      <c r="H270" s="13">
        <v>573694</v>
      </c>
      <c r="I270" s="13">
        <f t="shared" si="8"/>
        <v>61592.118870919003</v>
      </c>
      <c r="K270" s="58">
        <f t="shared" si="9"/>
        <v>0</v>
      </c>
      <c r="L270" s="56"/>
      <c r="M270" s="49"/>
      <c r="N270" s="49">
        <f>M270*I270</f>
        <v>0</v>
      </c>
    </row>
    <row r="271" spans="2:14">
      <c r="B271" s="2">
        <v>2022</v>
      </c>
      <c r="C271" s="2" t="s">
        <v>22</v>
      </c>
      <c r="D271" s="12" t="s">
        <v>15</v>
      </c>
      <c r="E271" s="12" t="s">
        <v>15</v>
      </c>
      <c r="F271" t="s">
        <v>34</v>
      </c>
      <c r="G271" s="3">
        <v>0.37088199332981786</v>
      </c>
      <c r="H271" s="13">
        <v>573694</v>
      </c>
      <c r="I271" s="13">
        <f t="shared" si="8"/>
        <v>212772.77428135654</v>
      </c>
      <c r="K271" s="58">
        <f t="shared" si="9"/>
        <v>0</v>
      </c>
      <c r="L271" s="56"/>
      <c r="M271" s="49"/>
      <c r="N271" s="49">
        <f>M271*I271</f>
        <v>0</v>
      </c>
    </row>
    <row r="272" spans="2:14">
      <c r="B272" s="2">
        <v>2022</v>
      </c>
      <c r="C272" s="2" t="s">
        <v>22</v>
      </c>
      <c r="D272" s="12" t="s">
        <v>15</v>
      </c>
      <c r="E272" s="12" t="s">
        <v>15</v>
      </c>
      <c r="F272" t="s">
        <v>35</v>
      </c>
      <c r="G272" s="3">
        <v>9.7600524560478394E-2</v>
      </c>
      <c r="H272" s="13">
        <v>573694</v>
      </c>
      <c r="I272" s="13">
        <f t="shared" si="8"/>
        <v>55992.835337199089</v>
      </c>
      <c r="K272" s="58">
        <f t="shared" si="9"/>
        <v>0</v>
      </c>
      <c r="L272" s="56"/>
      <c r="M272" s="49"/>
      <c r="N272" s="49">
        <f>M272*I272</f>
        <v>0</v>
      </c>
    </row>
    <row r="273" spans="2:14">
      <c r="B273" s="2">
        <v>2022</v>
      </c>
      <c r="C273" s="2" t="s">
        <v>22</v>
      </c>
      <c r="D273" s="12" t="s">
        <v>15</v>
      </c>
      <c r="E273" s="12" t="s">
        <v>15</v>
      </c>
      <c r="F273" t="s">
        <v>36</v>
      </c>
      <c r="G273" s="3">
        <v>0.11712062947257405</v>
      </c>
      <c r="H273" s="13">
        <v>573694</v>
      </c>
      <c r="I273" s="13">
        <f t="shared" si="8"/>
        <v>67191.402404638895</v>
      </c>
      <c r="K273" s="58">
        <f t="shared" si="9"/>
        <v>0</v>
      </c>
      <c r="L273" s="56"/>
      <c r="M273" s="49"/>
      <c r="N273" s="49">
        <f>M273*I273</f>
        <v>0</v>
      </c>
    </row>
    <row r="274" spans="2:14">
      <c r="B274" s="2">
        <v>2022</v>
      </c>
      <c r="C274" s="2" t="s">
        <v>22</v>
      </c>
      <c r="D274" s="12" t="s">
        <v>15</v>
      </c>
      <c r="E274" s="12" t="s">
        <v>15</v>
      </c>
      <c r="F274" t="s">
        <v>37</v>
      </c>
      <c r="G274" s="3">
        <v>0.13664073438466978</v>
      </c>
      <c r="H274" s="13">
        <v>573694</v>
      </c>
      <c r="I274" s="13">
        <f t="shared" si="8"/>
        <v>78389.969472078752</v>
      </c>
      <c r="K274" s="58">
        <f t="shared" si="9"/>
        <v>0</v>
      </c>
      <c r="L274" s="56"/>
      <c r="M274" s="49"/>
      <c r="N274" s="49">
        <f>M274*I274</f>
        <v>0</v>
      </c>
    </row>
    <row r="275" spans="2:14">
      <c r="B275" s="2">
        <v>2023</v>
      </c>
      <c r="C275" s="2" t="s">
        <v>22</v>
      </c>
      <c r="D275" s="12" t="s">
        <v>15</v>
      </c>
      <c r="E275" s="12" t="s">
        <v>15</v>
      </c>
      <c r="F275" s="9" t="s">
        <v>38</v>
      </c>
      <c r="G275" s="10">
        <v>1</v>
      </c>
      <c r="H275" s="13">
        <v>573694</v>
      </c>
      <c r="I275" s="13">
        <f t="shared" si="8"/>
        <v>573694</v>
      </c>
      <c r="J275" s="29">
        <v>100497.9234050727</v>
      </c>
      <c r="K275" s="58">
        <f t="shared" si="9"/>
        <v>5.7085159629382201</v>
      </c>
      <c r="L275" s="56"/>
      <c r="M275" s="49"/>
      <c r="N275" s="49">
        <f>M275*I275</f>
        <v>0</v>
      </c>
    </row>
    <row r="276" spans="2:14">
      <c r="B276" s="2">
        <v>2023</v>
      </c>
      <c r="C276" s="2" t="s">
        <v>23</v>
      </c>
      <c r="D276" s="12" t="s">
        <v>15</v>
      </c>
      <c r="E276" s="12" t="s">
        <v>15</v>
      </c>
      <c r="F276" t="s">
        <v>32</v>
      </c>
      <c r="G276" s="3">
        <v>0.14640078684071758</v>
      </c>
      <c r="H276" s="13">
        <v>597939</v>
      </c>
      <c r="I276" s="13">
        <f t="shared" si="8"/>
        <v>87538.740082751829</v>
      </c>
      <c r="K276" s="58">
        <f t="shared" si="9"/>
        <v>0</v>
      </c>
      <c r="L276" s="56"/>
      <c r="M276" s="49"/>
      <c r="N276" s="49">
        <f>M276*I276</f>
        <v>0</v>
      </c>
    </row>
    <row r="277" spans="2:14">
      <c r="B277" s="2">
        <v>2023</v>
      </c>
      <c r="C277" s="2" t="s">
        <v>23</v>
      </c>
      <c r="D277" s="12" t="s">
        <v>15</v>
      </c>
      <c r="E277" s="12" t="s">
        <v>15</v>
      </c>
      <c r="F277" t="s">
        <v>33</v>
      </c>
      <c r="G277" s="3">
        <v>0.10736057701652624</v>
      </c>
      <c r="H277" s="13">
        <v>597939</v>
      </c>
      <c r="I277" s="13">
        <f t="shared" si="8"/>
        <v>64195.076060684682</v>
      </c>
      <c r="K277" s="58">
        <f t="shared" si="9"/>
        <v>0</v>
      </c>
      <c r="L277" s="56"/>
      <c r="M277" s="49"/>
      <c r="N277" s="49">
        <f>M277*I277</f>
        <v>0</v>
      </c>
    </row>
    <row r="278" spans="2:14">
      <c r="B278" s="2">
        <v>2023</v>
      </c>
      <c r="C278" s="2" t="s">
        <v>23</v>
      </c>
      <c r="D278" s="12" t="s">
        <v>15</v>
      </c>
      <c r="E278" s="12" t="s">
        <v>15</v>
      </c>
      <c r="F278" t="s">
        <v>34</v>
      </c>
      <c r="G278" s="3">
        <v>0.37088199332981786</v>
      </c>
      <c r="H278" s="13">
        <v>597939</v>
      </c>
      <c r="I278" s="13">
        <f t="shared" si="8"/>
        <v>221764.80820963797</v>
      </c>
      <c r="K278" s="58">
        <f t="shared" si="9"/>
        <v>0</v>
      </c>
      <c r="L278" s="56"/>
      <c r="M278" s="49"/>
      <c r="N278" s="49">
        <f>M278*I278</f>
        <v>0</v>
      </c>
    </row>
    <row r="279" spans="2:14">
      <c r="B279" s="2">
        <v>2023</v>
      </c>
      <c r="C279" s="2" t="s">
        <v>23</v>
      </c>
      <c r="D279" s="12" t="s">
        <v>15</v>
      </c>
      <c r="E279" s="12" t="s">
        <v>15</v>
      </c>
      <c r="F279" t="s">
        <v>35</v>
      </c>
      <c r="G279" s="3">
        <v>9.7600524560478394E-2</v>
      </c>
      <c r="H279" s="13">
        <v>597939</v>
      </c>
      <c r="I279" s="13">
        <f t="shared" si="8"/>
        <v>58359.160055167893</v>
      </c>
      <c r="K279" s="58">
        <f t="shared" si="9"/>
        <v>0</v>
      </c>
      <c r="L279" s="56"/>
      <c r="M279" s="49"/>
      <c r="N279" s="49">
        <f>M279*I279</f>
        <v>0</v>
      </c>
    </row>
    <row r="280" spans="2:14">
      <c r="B280" s="2">
        <v>2023</v>
      </c>
      <c r="C280" s="2" t="s">
        <v>23</v>
      </c>
      <c r="D280" s="12" t="s">
        <v>15</v>
      </c>
      <c r="E280" s="12" t="s">
        <v>15</v>
      </c>
      <c r="F280" t="s">
        <v>36</v>
      </c>
      <c r="G280" s="3">
        <v>0.11712062947257405</v>
      </c>
      <c r="H280" s="13">
        <v>597939</v>
      </c>
      <c r="I280" s="13">
        <f t="shared" si="8"/>
        <v>70030.992066201463</v>
      </c>
      <c r="K280" s="58">
        <f t="shared" si="9"/>
        <v>0</v>
      </c>
      <c r="L280" s="56"/>
      <c r="M280" s="49"/>
      <c r="N280" s="49">
        <f>M280*I280</f>
        <v>0</v>
      </c>
    </row>
    <row r="281" spans="2:14">
      <c r="B281" s="2">
        <v>2023</v>
      </c>
      <c r="C281" s="2" t="s">
        <v>23</v>
      </c>
      <c r="D281" s="12" t="s">
        <v>15</v>
      </c>
      <c r="E281" s="12" t="s">
        <v>15</v>
      </c>
      <c r="F281" t="s">
        <v>37</v>
      </c>
      <c r="G281" s="3">
        <v>0.13664073438466978</v>
      </c>
      <c r="H281" s="13">
        <v>597939</v>
      </c>
      <c r="I281" s="13">
        <f t="shared" si="8"/>
        <v>81702.824077235069</v>
      </c>
      <c r="K281" s="58">
        <f t="shared" si="9"/>
        <v>0</v>
      </c>
      <c r="L281" s="56"/>
      <c r="M281" s="49"/>
      <c r="N281" s="49">
        <f>M281*I281</f>
        <v>0</v>
      </c>
    </row>
    <row r="282" spans="2:14">
      <c r="B282" s="2">
        <v>2023</v>
      </c>
      <c r="C282" s="2" t="s">
        <v>23</v>
      </c>
      <c r="D282" s="12" t="s">
        <v>15</v>
      </c>
      <c r="E282" s="12" t="s">
        <v>15</v>
      </c>
      <c r="F282" s="9" t="s">
        <v>38</v>
      </c>
      <c r="G282" s="10">
        <v>1</v>
      </c>
      <c r="H282" s="13">
        <v>597939</v>
      </c>
      <c r="I282" s="13">
        <f t="shared" si="8"/>
        <v>597939</v>
      </c>
      <c r="J282" s="29">
        <v>108160.03035214287</v>
      </c>
      <c r="K282" s="58">
        <f t="shared" si="9"/>
        <v>5.5282806231956059</v>
      </c>
      <c r="L282" s="56"/>
      <c r="M282" s="49"/>
      <c r="N282" s="49">
        <f>M282*I282</f>
        <v>0</v>
      </c>
    </row>
    <row r="283" spans="2:14">
      <c r="B283" s="2">
        <v>2023</v>
      </c>
      <c r="C283" s="2" t="s">
        <v>24</v>
      </c>
      <c r="D283" s="12" t="s">
        <v>15</v>
      </c>
      <c r="E283" s="12" t="s">
        <v>15</v>
      </c>
      <c r="F283" t="s">
        <v>32</v>
      </c>
      <c r="G283" s="3">
        <v>0.14640078684071758</v>
      </c>
      <c r="H283" s="13">
        <v>531298</v>
      </c>
      <c r="I283" s="13">
        <f t="shared" si="8"/>
        <v>77782.445246899573</v>
      </c>
      <c r="K283" s="58">
        <f t="shared" si="9"/>
        <v>0</v>
      </c>
      <c r="L283" s="56"/>
      <c r="M283" s="49"/>
      <c r="N283" s="49">
        <f>M283*I283</f>
        <v>0</v>
      </c>
    </row>
    <row r="284" spans="2:14">
      <c r="B284" s="2">
        <v>2023</v>
      </c>
      <c r="C284" s="2" t="s">
        <v>24</v>
      </c>
      <c r="D284" s="12" t="s">
        <v>15</v>
      </c>
      <c r="E284" s="12" t="s">
        <v>15</v>
      </c>
      <c r="F284" t="s">
        <v>33</v>
      </c>
      <c r="G284" s="3">
        <v>0.10736057701652624</v>
      </c>
      <c r="H284" s="13">
        <v>531298</v>
      </c>
      <c r="I284" s="13">
        <f t="shared" si="8"/>
        <v>57040.459847726357</v>
      </c>
      <c r="K284" s="58">
        <f t="shared" si="9"/>
        <v>0</v>
      </c>
      <c r="L284" s="56"/>
      <c r="M284" s="49"/>
      <c r="N284" s="49">
        <f>M284*I284</f>
        <v>0</v>
      </c>
    </row>
    <row r="285" spans="2:14">
      <c r="B285" s="2">
        <v>2023</v>
      </c>
      <c r="C285" s="2" t="s">
        <v>24</v>
      </c>
      <c r="D285" s="12" t="s">
        <v>15</v>
      </c>
      <c r="E285" s="12" t="s">
        <v>15</v>
      </c>
      <c r="F285" t="s">
        <v>34</v>
      </c>
      <c r="G285" s="3">
        <v>0.37088199332981786</v>
      </c>
      <c r="H285" s="13">
        <v>531298</v>
      </c>
      <c r="I285" s="13">
        <f t="shared" si="8"/>
        <v>197048.86129214556</v>
      </c>
      <c r="K285" s="58">
        <f t="shared" si="9"/>
        <v>0</v>
      </c>
      <c r="L285" s="56"/>
      <c r="M285" s="49"/>
      <c r="N285" s="49">
        <f>M285*I285</f>
        <v>0</v>
      </c>
    </row>
    <row r="286" spans="2:14">
      <c r="B286" s="2">
        <v>2023</v>
      </c>
      <c r="C286" s="2" t="s">
        <v>24</v>
      </c>
      <c r="D286" s="12" t="s">
        <v>15</v>
      </c>
      <c r="E286" s="12" t="s">
        <v>15</v>
      </c>
      <c r="F286" t="s">
        <v>35</v>
      </c>
      <c r="G286" s="3">
        <v>9.7600524560478394E-2</v>
      </c>
      <c r="H286" s="13">
        <v>531298</v>
      </c>
      <c r="I286" s="13">
        <f t="shared" si="8"/>
        <v>51854.963497933051</v>
      </c>
      <c r="K286" s="58">
        <f t="shared" si="9"/>
        <v>0</v>
      </c>
      <c r="L286" s="56"/>
      <c r="M286" s="49"/>
      <c r="N286" s="49">
        <f>M286*I286</f>
        <v>0</v>
      </c>
    </row>
    <row r="287" spans="2:14">
      <c r="B287" s="2">
        <v>2023</v>
      </c>
      <c r="C287" s="2" t="s">
        <v>24</v>
      </c>
      <c r="D287" s="12" t="s">
        <v>15</v>
      </c>
      <c r="E287" s="12" t="s">
        <v>15</v>
      </c>
      <c r="F287" t="s">
        <v>36</v>
      </c>
      <c r="G287" s="3">
        <v>0.11712062947257405</v>
      </c>
      <c r="H287" s="13">
        <v>531298</v>
      </c>
      <c r="I287" s="13">
        <f t="shared" si="8"/>
        <v>62225.956197519648</v>
      </c>
      <c r="K287" s="58">
        <f t="shared" si="9"/>
        <v>0</v>
      </c>
      <c r="L287" s="56"/>
      <c r="M287" s="49"/>
      <c r="N287" s="49">
        <f>M287*I287</f>
        <v>0</v>
      </c>
    </row>
    <row r="288" spans="2:14">
      <c r="B288" s="2">
        <v>2023</v>
      </c>
      <c r="C288" s="2" t="s">
        <v>24</v>
      </c>
      <c r="D288" s="12" t="s">
        <v>15</v>
      </c>
      <c r="E288" s="12" t="s">
        <v>15</v>
      </c>
      <c r="F288" t="s">
        <v>37</v>
      </c>
      <c r="G288" s="3">
        <v>0.13664073438466978</v>
      </c>
      <c r="H288" s="13">
        <v>531298</v>
      </c>
      <c r="I288" s="13">
        <f t="shared" si="8"/>
        <v>72596.948897106282</v>
      </c>
      <c r="K288" s="58">
        <f t="shared" si="9"/>
        <v>0</v>
      </c>
      <c r="L288" s="56"/>
      <c r="M288" s="49"/>
      <c r="N288" s="49">
        <f>M288*I288</f>
        <v>0</v>
      </c>
    </row>
    <row r="289" spans="2:14">
      <c r="B289" s="2">
        <v>2023</v>
      </c>
      <c r="C289" s="2" t="s">
        <v>24</v>
      </c>
      <c r="D289" s="12" t="s">
        <v>15</v>
      </c>
      <c r="E289" s="12" t="s">
        <v>15</v>
      </c>
      <c r="F289" s="9" t="s">
        <v>38</v>
      </c>
      <c r="G289" s="10">
        <v>1</v>
      </c>
      <c r="H289" s="13">
        <v>531298</v>
      </c>
      <c r="I289" s="13">
        <f t="shared" si="8"/>
        <v>531298</v>
      </c>
      <c r="J289" s="29">
        <v>101118.107318797</v>
      </c>
      <c r="K289" s="58">
        <f t="shared" si="9"/>
        <v>5.2542320469366244</v>
      </c>
      <c r="L289" s="56"/>
      <c r="M289" s="49"/>
      <c r="N289" s="49">
        <f>M289*I289</f>
        <v>0</v>
      </c>
    </row>
    <row r="290" spans="2:14">
      <c r="B290" s="2">
        <v>2023</v>
      </c>
      <c r="C290" s="2" t="s">
        <v>25</v>
      </c>
      <c r="D290" s="12" t="s">
        <v>15</v>
      </c>
      <c r="E290" s="12" t="s">
        <v>15</v>
      </c>
      <c r="F290" t="s">
        <v>32</v>
      </c>
      <c r="G290" s="3">
        <v>0.14640078684071758</v>
      </c>
      <c r="H290" s="13">
        <v>582055</v>
      </c>
      <c r="I290" s="13">
        <f t="shared" si="8"/>
        <v>85213.309984573876</v>
      </c>
      <c r="K290" s="58">
        <f t="shared" si="9"/>
        <v>0</v>
      </c>
      <c r="L290" s="56"/>
      <c r="M290" s="49"/>
      <c r="N290" s="49">
        <f>M290*I290</f>
        <v>0</v>
      </c>
    </row>
    <row r="291" spans="2:14">
      <c r="B291" s="2">
        <v>2023</v>
      </c>
      <c r="C291" s="2" t="s">
        <v>25</v>
      </c>
      <c r="D291" s="12" t="s">
        <v>15</v>
      </c>
      <c r="E291" s="12" t="s">
        <v>15</v>
      </c>
      <c r="F291" t="s">
        <v>33</v>
      </c>
      <c r="G291" s="3">
        <v>0.10736057701652624</v>
      </c>
      <c r="H291" s="13">
        <v>582055</v>
      </c>
      <c r="I291" s="13">
        <f t="shared" si="8"/>
        <v>62489.760655354177</v>
      </c>
      <c r="K291" s="58">
        <f t="shared" si="9"/>
        <v>0</v>
      </c>
      <c r="L291" s="56"/>
      <c r="M291" s="49"/>
      <c r="N291" s="49">
        <f>M291*I291</f>
        <v>0</v>
      </c>
    </row>
    <row r="292" spans="2:14">
      <c r="B292" s="2">
        <v>2023</v>
      </c>
      <c r="C292" s="2" t="s">
        <v>25</v>
      </c>
      <c r="D292" s="12" t="s">
        <v>15</v>
      </c>
      <c r="E292" s="12" t="s">
        <v>15</v>
      </c>
      <c r="F292" t="s">
        <v>34</v>
      </c>
      <c r="G292" s="3">
        <v>0.37088199332981786</v>
      </c>
      <c r="H292" s="13">
        <v>582055</v>
      </c>
      <c r="I292" s="13">
        <f t="shared" si="8"/>
        <v>215873.71862758714</v>
      </c>
      <c r="K292" s="58">
        <f t="shared" si="9"/>
        <v>0</v>
      </c>
      <c r="L292" s="56"/>
      <c r="M292" s="49"/>
      <c r="N292" s="49">
        <f>M292*I292</f>
        <v>0</v>
      </c>
    </row>
    <row r="293" spans="2:14">
      <c r="B293" s="2">
        <v>2023</v>
      </c>
      <c r="C293" s="2" t="s">
        <v>25</v>
      </c>
      <c r="D293" s="12" t="s">
        <v>15</v>
      </c>
      <c r="E293" s="12" t="s">
        <v>15</v>
      </c>
      <c r="F293" t="s">
        <v>35</v>
      </c>
      <c r="G293" s="3">
        <v>9.7600524560478394E-2</v>
      </c>
      <c r="H293" s="13">
        <v>582055</v>
      </c>
      <c r="I293" s="13">
        <f t="shared" si="8"/>
        <v>56808.873323049251</v>
      </c>
      <c r="K293" s="58">
        <f t="shared" si="9"/>
        <v>0</v>
      </c>
      <c r="L293" s="56"/>
      <c r="M293" s="49"/>
      <c r="N293" s="49">
        <f>M293*I293</f>
        <v>0</v>
      </c>
    </row>
    <row r="294" spans="2:14">
      <c r="B294" s="2">
        <v>2023</v>
      </c>
      <c r="C294" s="2" t="s">
        <v>25</v>
      </c>
      <c r="D294" s="12" t="s">
        <v>15</v>
      </c>
      <c r="E294" s="12" t="s">
        <v>15</v>
      </c>
      <c r="F294" t="s">
        <v>36</v>
      </c>
      <c r="G294" s="3">
        <v>0.11712062947257405</v>
      </c>
      <c r="H294" s="13">
        <v>582055</v>
      </c>
      <c r="I294" s="13">
        <f t="shared" si="8"/>
        <v>68170.647987659089</v>
      </c>
      <c r="K294" s="58">
        <f t="shared" si="9"/>
        <v>0</v>
      </c>
      <c r="L294" s="56"/>
      <c r="M294" s="49"/>
      <c r="N294" s="49">
        <f>M294*I294</f>
        <v>0</v>
      </c>
    </row>
    <row r="295" spans="2:14">
      <c r="B295" s="2">
        <v>2023</v>
      </c>
      <c r="C295" s="2" t="s">
        <v>25</v>
      </c>
      <c r="D295" s="12" t="s">
        <v>15</v>
      </c>
      <c r="E295" s="12" t="s">
        <v>15</v>
      </c>
      <c r="F295" t="s">
        <v>37</v>
      </c>
      <c r="G295" s="3">
        <v>0.13664073438466978</v>
      </c>
      <c r="H295" s="13">
        <v>582055</v>
      </c>
      <c r="I295" s="13">
        <f t="shared" si="8"/>
        <v>79532.422652268971</v>
      </c>
      <c r="K295" s="58">
        <f t="shared" si="9"/>
        <v>0</v>
      </c>
      <c r="L295" s="56"/>
      <c r="M295" s="49"/>
      <c r="N295" s="49">
        <f>M295*I295</f>
        <v>0</v>
      </c>
    </row>
    <row r="296" spans="2:14">
      <c r="B296" s="2">
        <v>2023</v>
      </c>
      <c r="C296" s="2" t="s">
        <v>25</v>
      </c>
      <c r="D296" s="12" t="s">
        <v>15</v>
      </c>
      <c r="E296" s="12" t="s">
        <v>15</v>
      </c>
      <c r="F296" s="9" t="s">
        <v>38</v>
      </c>
      <c r="G296" s="10">
        <v>1</v>
      </c>
      <c r="H296" s="13">
        <v>582055</v>
      </c>
      <c r="I296" s="13">
        <f t="shared" si="8"/>
        <v>582055</v>
      </c>
      <c r="J296" s="29">
        <v>106639</v>
      </c>
      <c r="K296" s="58">
        <f t="shared" si="9"/>
        <v>5.4581813407852664</v>
      </c>
      <c r="L296" s="56"/>
      <c r="M296" s="49"/>
      <c r="N296" s="49">
        <f>M296*I296</f>
        <v>0</v>
      </c>
    </row>
    <row r="297" spans="2:14">
      <c r="B297" s="2">
        <v>2023</v>
      </c>
      <c r="C297" s="2" t="s">
        <v>26</v>
      </c>
      <c r="D297" s="12" t="s">
        <v>15</v>
      </c>
      <c r="E297" s="12" t="s">
        <v>15</v>
      </c>
      <c r="F297" t="s">
        <v>32</v>
      </c>
      <c r="G297" s="3">
        <v>0.14640078684071758</v>
      </c>
      <c r="H297" s="13">
        <v>561719</v>
      </c>
      <c r="I297" s="13">
        <f t="shared" si="8"/>
        <v>82236.103583381046</v>
      </c>
      <c r="K297" s="58">
        <f t="shared" si="9"/>
        <v>0</v>
      </c>
      <c r="L297" s="56"/>
      <c r="M297" s="49"/>
      <c r="N297" s="49">
        <f>M297*I297</f>
        <v>0</v>
      </c>
    </row>
    <row r="298" spans="2:14">
      <c r="B298" s="2">
        <v>2023</v>
      </c>
      <c r="C298" s="2" t="s">
        <v>26</v>
      </c>
      <c r="D298" s="12" t="s">
        <v>15</v>
      </c>
      <c r="E298" s="12" t="s">
        <v>15</v>
      </c>
      <c r="F298" t="s">
        <v>33</v>
      </c>
      <c r="G298" s="3">
        <v>0.10736057701652624</v>
      </c>
      <c r="H298" s="13">
        <v>561719</v>
      </c>
      <c r="I298" s="13">
        <f t="shared" si="8"/>
        <v>60306.475961146105</v>
      </c>
      <c r="K298" s="58">
        <f t="shared" si="9"/>
        <v>0</v>
      </c>
      <c r="L298" s="56"/>
      <c r="M298" s="49"/>
      <c r="N298" s="49">
        <f>M298*I298</f>
        <v>0</v>
      </c>
    </row>
    <row r="299" spans="2:14">
      <c r="B299" s="2">
        <v>2023</v>
      </c>
      <c r="C299" s="2" t="s">
        <v>26</v>
      </c>
      <c r="D299" s="12" t="s">
        <v>15</v>
      </c>
      <c r="E299" s="12" t="s">
        <v>15</v>
      </c>
      <c r="F299" t="s">
        <v>34</v>
      </c>
      <c r="G299" s="3">
        <v>0.37088199332981786</v>
      </c>
      <c r="H299" s="13">
        <v>561719</v>
      </c>
      <c r="I299" s="13">
        <f t="shared" si="8"/>
        <v>208331.46241123197</v>
      </c>
      <c r="K299" s="58">
        <f t="shared" si="9"/>
        <v>0</v>
      </c>
      <c r="L299" s="56"/>
      <c r="M299" s="49"/>
      <c r="N299" s="49">
        <f>M299*I299</f>
        <v>0</v>
      </c>
    </row>
    <row r="300" spans="2:14">
      <c r="B300" s="2">
        <v>2023</v>
      </c>
      <c r="C300" s="2" t="s">
        <v>26</v>
      </c>
      <c r="D300" s="12" t="s">
        <v>15</v>
      </c>
      <c r="E300" s="12" t="s">
        <v>15</v>
      </c>
      <c r="F300" t="s">
        <v>35</v>
      </c>
      <c r="G300" s="3">
        <v>9.7600524560478394E-2</v>
      </c>
      <c r="H300" s="13">
        <v>561719</v>
      </c>
      <c r="I300" s="13">
        <f t="shared" si="8"/>
        <v>54824.069055587366</v>
      </c>
      <c r="K300" s="58">
        <f t="shared" si="9"/>
        <v>0</v>
      </c>
      <c r="L300" s="56"/>
      <c r="M300" s="49"/>
      <c r="N300" s="49">
        <f>M300*I300</f>
        <v>0</v>
      </c>
    </row>
    <row r="301" spans="2:14">
      <c r="B301" s="2">
        <v>2023</v>
      </c>
      <c r="C301" s="2" t="s">
        <v>26</v>
      </c>
      <c r="D301" s="12" t="s">
        <v>15</v>
      </c>
      <c r="E301" s="12" t="s">
        <v>15</v>
      </c>
      <c r="F301" t="s">
        <v>36</v>
      </c>
      <c r="G301" s="3">
        <v>0.11712062947257405</v>
      </c>
      <c r="H301" s="13">
        <v>561719</v>
      </c>
      <c r="I301" s="13">
        <f t="shared" si="8"/>
        <v>65788.882866704822</v>
      </c>
      <c r="K301" s="58">
        <f t="shared" si="9"/>
        <v>0</v>
      </c>
      <c r="L301" s="56"/>
      <c r="M301" s="49"/>
      <c r="N301" s="49">
        <f>M301*I301</f>
        <v>0</v>
      </c>
    </row>
    <row r="302" spans="2:14">
      <c r="B302" s="2">
        <v>2023</v>
      </c>
      <c r="C302" s="2" t="s">
        <v>26</v>
      </c>
      <c r="D302" s="12" t="s">
        <v>15</v>
      </c>
      <c r="E302" s="12" t="s">
        <v>15</v>
      </c>
      <c r="F302" t="s">
        <v>37</v>
      </c>
      <c r="G302" s="3">
        <v>0.13664073438466978</v>
      </c>
      <c r="H302" s="13">
        <v>561719</v>
      </c>
      <c r="I302" s="13">
        <f t="shared" si="8"/>
        <v>76753.696677822329</v>
      </c>
      <c r="K302" s="58">
        <f t="shared" si="9"/>
        <v>0</v>
      </c>
      <c r="L302" s="56"/>
      <c r="M302" s="49"/>
      <c r="N302" s="49">
        <f>M302*I302</f>
        <v>0</v>
      </c>
    </row>
    <row r="303" spans="2:14">
      <c r="B303" s="2">
        <v>2023</v>
      </c>
      <c r="C303" s="2" t="s">
        <v>26</v>
      </c>
      <c r="D303" s="12" t="s">
        <v>15</v>
      </c>
      <c r="E303" s="12" t="s">
        <v>15</v>
      </c>
      <c r="F303" s="9" t="s">
        <v>38</v>
      </c>
      <c r="G303" s="10">
        <v>1</v>
      </c>
      <c r="H303" s="13">
        <v>561719</v>
      </c>
      <c r="I303" s="13">
        <f t="shared" si="8"/>
        <v>561719</v>
      </c>
      <c r="J303" s="29">
        <v>96769</v>
      </c>
      <c r="K303" s="58">
        <f t="shared" si="9"/>
        <v>5.8047411877770774</v>
      </c>
      <c r="L303" s="56"/>
      <c r="M303" s="49"/>
      <c r="N303" s="49">
        <f>M303*I303</f>
        <v>0</v>
      </c>
    </row>
    <row r="304" spans="2:14">
      <c r="B304" s="2">
        <v>2023</v>
      </c>
      <c r="C304" s="2" t="s">
        <v>27</v>
      </c>
      <c r="D304" s="12" t="s">
        <v>15</v>
      </c>
      <c r="E304" s="12" t="s">
        <v>15</v>
      </c>
      <c r="F304" t="s">
        <v>32</v>
      </c>
      <c r="G304" s="3">
        <v>0.14640078684071758</v>
      </c>
      <c r="H304" s="13">
        <v>580603</v>
      </c>
      <c r="I304" s="13">
        <f t="shared" si="8"/>
        <v>85000.736042081146</v>
      </c>
      <c r="K304" s="58">
        <f t="shared" si="9"/>
        <v>0</v>
      </c>
      <c r="L304" s="56"/>
      <c r="M304" s="49"/>
      <c r="N304" s="49">
        <f>M304*I304</f>
        <v>0</v>
      </c>
    </row>
    <row r="305" spans="2:14">
      <c r="B305" s="2">
        <v>2023</v>
      </c>
      <c r="C305" s="2" t="s">
        <v>27</v>
      </c>
      <c r="D305" s="12" t="s">
        <v>15</v>
      </c>
      <c r="E305" s="12" t="s">
        <v>15</v>
      </c>
      <c r="F305" t="s">
        <v>33</v>
      </c>
      <c r="G305" s="3">
        <v>0.10736057701652624</v>
      </c>
      <c r="H305" s="13">
        <v>580603</v>
      </c>
      <c r="I305" s="13">
        <f t="shared" si="8"/>
        <v>62333.873097526186</v>
      </c>
      <c r="K305" s="58">
        <f t="shared" si="9"/>
        <v>0</v>
      </c>
      <c r="L305" s="56"/>
      <c r="M305" s="49"/>
      <c r="N305" s="49">
        <f>M305*I305</f>
        <v>0</v>
      </c>
    </row>
    <row r="306" spans="2:14">
      <c r="B306" s="2">
        <v>2023</v>
      </c>
      <c r="C306" s="2" t="s">
        <v>27</v>
      </c>
      <c r="D306" s="12" t="s">
        <v>15</v>
      </c>
      <c r="E306" s="12" t="s">
        <v>15</v>
      </c>
      <c r="F306" t="s">
        <v>34</v>
      </c>
      <c r="G306" s="3">
        <v>0.37088199332981786</v>
      </c>
      <c r="H306" s="13">
        <v>580603</v>
      </c>
      <c r="I306" s="13">
        <f t="shared" si="8"/>
        <v>215335.19797327224</v>
      </c>
      <c r="K306" s="58">
        <f t="shared" si="9"/>
        <v>0</v>
      </c>
      <c r="L306" s="56"/>
      <c r="M306" s="49"/>
      <c r="N306" s="49">
        <f>M306*I306</f>
        <v>0</v>
      </c>
    </row>
    <row r="307" spans="2:14">
      <c r="B307" s="2">
        <v>2023</v>
      </c>
      <c r="C307" s="2" t="s">
        <v>27</v>
      </c>
      <c r="D307" s="12" t="s">
        <v>15</v>
      </c>
      <c r="E307" s="12" t="s">
        <v>15</v>
      </c>
      <c r="F307" t="s">
        <v>35</v>
      </c>
      <c r="G307" s="3">
        <v>9.7600524560478394E-2</v>
      </c>
      <c r="H307" s="13">
        <v>580603</v>
      </c>
      <c r="I307" s="13">
        <f t="shared" si="8"/>
        <v>56667.157361387435</v>
      </c>
      <c r="K307" s="58">
        <f t="shared" si="9"/>
        <v>0</v>
      </c>
      <c r="L307" s="56"/>
      <c r="M307" s="49"/>
      <c r="N307" s="49">
        <f>M307*I307</f>
        <v>0</v>
      </c>
    </row>
    <row r="308" spans="2:14">
      <c r="B308" s="2">
        <v>2023</v>
      </c>
      <c r="C308" s="2" t="s">
        <v>27</v>
      </c>
      <c r="D308" s="12" t="s">
        <v>15</v>
      </c>
      <c r="E308" s="12" t="s">
        <v>15</v>
      </c>
      <c r="F308" t="s">
        <v>36</v>
      </c>
      <c r="G308" s="3">
        <v>0.11712062947257405</v>
      </c>
      <c r="H308" s="13">
        <v>580603</v>
      </c>
      <c r="I308" s="13">
        <f t="shared" si="8"/>
        <v>68000.588833664908</v>
      </c>
      <c r="K308" s="58">
        <f t="shared" si="9"/>
        <v>0</v>
      </c>
      <c r="L308" s="56"/>
      <c r="M308" s="49"/>
      <c r="N308" s="49">
        <f>M308*I308</f>
        <v>0</v>
      </c>
    </row>
    <row r="309" spans="2:14">
      <c r="B309" s="2">
        <v>2023</v>
      </c>
      <c r="C309" s="2" t="s">
        <v>27</v>
      </c>
      <c r="D309" s="12" t="s">
        <v>15</v>
      </c>
      <c r="E309" s="12" t="s">
        <v>15</v>
      </c>
      <c r="F309" t="s">
        <v>37</v>
      </c>
      <c r="G309" s="3">
        <v>0.13664073438466978</v>
      </c>
      <c r="H309" s="13">
        <v>580603</v>
      </c>
      <c r="I309" s="13">
        <f t="shared" si="8"/>
        <v>79334.020305942424</v>
      </c>
      <c r="K309" s="58">
        <f t="shared" si="9"/>
        <v>0</v>
      </c>
      <c r="L309" s="56"/>
      <c r="M309" s="49"/>
      <c r="N309" s="49">
        <f>M309*I309</f>
        <v>0</v>
      </c>
    </row>
    <row r="310" spans="2:14">
      <c r="B310" s="2">
        <v>2023</v>
      </c>
      <c r="C310" s="2" t="s">
        <v>27</v>
      </c>
      <c r="D310" s="12" t="s">
        <v>15</v>
      </c>
      <c r="E310" s="12" t="s">
        <v>15</v>
      </c>
      <c r="F310" s="9" t="s">
        <v>38</v>
      </c>
      <c r="G310" s="10">
        <v>1</v>
      </c>
      <c r="H310" s="13">
        <v>580603</v>
      </c>
      <c r="I310" s="13">
        <f t="shared" si="8"/>
        <v>580603</v>
      </c>
      <c r="J310" s="29">
        <v>100064.87</v>
      </c>
      <c r="K310" s="58">
        <f t="shared" si="9"/>
        <v>5.8022660700003907</v>
      </c>
      <c r="L310" s="56"/>
      <c r="M310" s="49"/>
      <c r="N310" s="49">
        <f>M310*I310</f>
        <v>0</v>
      </c>
    </row>
    <row r="311" spans="2:14">
      <c r="B311" s="2">
        <v>2023</v>
      </c>
      <c r="C311" s="2" t="s">
        <v>28</v>
      </c>
      <c r="D311" s="12" t="s">
        <v>15</v>
      </c>
      <c r="E311" s="12" t="s">
        <v>15</v>
      </c>
      <c r="F311" t="s">
        <v>32</v>
      </c>
      <c r="G311" s="3">
        <v>0.14640078684071758</v>
      </c>
      <c r="H311" s="13">
        <v>556636</v>
      </c>
      <c r="I311" s="13">
        <f t="shared" si="8"/>
        <v>81491.948383869676</v>
      </c>
      <c r="K311" s="58">
        <f t="shared" si="9"/>
        <v>0</v>
      </c>
      <c r="L311" s="56"/>
      <c r="M311" s="49"/>
      <c r="N311" s="49">
        <f>M311*I311</f>
        <v>0</v>
      </c>
    </row>
    <row r="312" spans="2:14">
      <c r="B312" s="2">
        <v>2023</v>
      </c>
      <c r="C312" s="2" t="s">
        <v>28</v>
      </c>
      <c r="D312" s="12" t="s">
        <v>15</v>
      </c>
      <c r="E312" s="12" t="s">
        <v>15</v>
      </c>
      <c r="F312" t="s">
        <v>33</v>
      </c>
      <c r="G312" s="3">
        <v>0.10736057701652624</v>
      </c>
      <c r="H312" s="13">
        <v>556636</v>
      </c>
      <c r="I312" s="13">
        <f t="shared" si="8"/>
        <v>59760.762148171096</v>
      </c>
      <c r="K312" s="58">
        <f t="shared" si="9"/>
        <v>0</v>
      </c>
      <c r="L312" s="56"/>
      <c r="M312" s="49"/>
      <c r="N312" s="49">
        <f>M312*I312</f>
        <v>0</v>
      </c>
    </row>
    <row r="313" spans="2:14">
      <c r="B313" s="2">
        <v>2023</v>
      </c>
      <c r="C313" s="2" t="s">
        <v>28</v>
      </c>
      <c r="D313" s="12" t="s">
        <v>15</v>
      </c>
      <c r="E313" s="12" t="s">
        <v>15</v>
      </c>
      <c r="F313" t="s">
        <v>34</v>
      </c>
      <c r="G313" s="3">
        <v>0.37088199332981786</v>
      </c>
      <c r="H313" s="13">
        <v>556636</v>
      </c>
      <c r="I313" s="13">
        <f t="shared" si="8"/>
        <v>206446.26923913648</v>
      </c>
      <c r="K313" s="58">
        <f t="shared" si="9"/>
        <v>0</v>
      </c>
      <c r="L313" s="56"/>
      <c r="M313" s="49"/>
      <c r="N313" s="49">
        <f>M313*I313</f>
        <v>0</v>
      </c>
    </row>
    <row r="314" spans="2:14">
      <c r="B314" s="2">
        <v>2023</v>
      </c>
      <c r="C314" s="2" t="s">
        <v>28</v>
      </c>
      <c r="D314" s="12" t="s">
        <v>15</v>
      </c>
      <c r="E314" s="12" t="s">
        <v>15</v>
      </c>
      <c r="F314" t="s">
        <v>35</v>
      </c>
      <c r="G314" s="3">
        <v>9.7600524560478394E-2</v>
      </c>
      <c r="H314" s="13">
        <v>556636</v>
      </c>
      <c r="I314" s="13">
        <f t="shared" si="8"/>
        <v>54327.965589246451</v>
      </c>
      <c r="K314" s="58">
        <f t="shared" si="9"/>
        <v>0</v>
      </c>
      <c r="L314" s="56"/>
      <c r="M314" s="49"/>
      <c r="N314" s="49">
        <f>M314*I314</f>
        <v>0</v>
      </c>
    </row>
    <row r="315" spans="2:14">
      <c r="B315" s="2">
        <v>2023</v>
      </c>
      <c r="C315" s="2" t="s">
        <v>28</v>
      </c>
      <c r="D315" s="12" t="s">
        <v>15</v>
      </c>
      <c r="E315" s="12" t="s">
        <v>15</v>
      </c>
      <c r="F315" t="s">
        <v>36</v>
      </c>
      <c r="G315" s="3">
        <v>0.11712062947257405</v>
      </c>
      <c r="H315" s="13">
        <v>556636</v>
      </c>
      <c r="I315" s="13">
        <f t="shared" si="8"/>
        <v>65193.558707095734</v>
      </c>
      <c r="K315" s="58">
        <f t="shared" si="9"/>
        <v>0</v>
      </c>
      <c r="L315" s="56"/>
      <c r="M315" s="49"/>
      <c r="N315" s="49">
        <f>M315*I315</f>
        <v>0</v>
      </c>
    </row>
    <row r="316" spans="2:14">
      <c r="B316" s="2">
        <v>2023</v>
      </c>
      <c r="C316" s="2" t="s">
        <v>28</v>
      </c>
      <c r="D316" s="12" t="s">
        <v>15</v>
      </c>
      <c r="E316" s="12" t="s">
        <v>15</v>
      </c>
      <c r="F316" t="s">
        <v>37</v>
      </c>
      <c r="G316" s="3">
        <v>0.13664073438466978</v>
      </c>
      <c r="H316" s="13">
        <v>556636</v>
      </c>
      <c r="I316" s="13">
        <f t="shared" si="8"/>
        <v>76059.151824945046</v>
      </c>
      <c r="K316" s="58">
        <f t="shared" si="9"/>
        <v>0</v>
      </c>
      <c r="L316" s="56"/>
      <c r="M316" s="49"/>
      <c r="N316" s="49">
        <f>M316*I316</f>
        <v>0</v>
      </c>
    </row>
    <row r="317" spans="2:14">
      <c r="B317" s="2">
        <v>2023</v>
      </c>
      <c r="C317" s="2" t="s">
        <v>28</v>
      </c>
      <c r="D317" s="12" t="s">
        <v>15</v>
      </c>
      <c r="E317" s="12" t="s">
        <v>15</v>
      </c>
      <c r="F317" s="9" t="s">
        <v>38</v>
      </c>
      <c r="G317" s="10">
        <v>1</v>
      </c>
      <c r="H317" s="13">
        <v>556636</v>
      </c>
      <c r="I317" s="13">
        <f t="shared" si="8"/>
        <v>556636</v>
      </c>
      <c r="J317" s="29">
        <v>104793</v>
      </c>
      <c r="K317" s="58">
        <f t="shared" si="9"/>
        <v>5.3117670073382763</v>
      </c>
      <c r="L317" s="56"/>
      <c r="M317" s="49"/>
      <c r="N317" s="49">
        <f>M317*I317</f>
        <v>0</v>
      </c>
    </row>
    <row r="318" spans="2:14">
      <c r="B318" s="2">
        <v>2023</v>
      </c>
      <c r="C318" s="2" t="s">
        <v>29</v>
      </c>
      <c r="D318" s="12" t="s">
        <v>15</v>
      </c>
      <c r="E318" s="12" t="s">
        <v>15</v>
      </c>
      <c r="F318" t="s">
        <v>32</v>
      </c>
      <c r="G318" s="3">
        <v>0.14640078684071758</v>
      </c>
      <c r="H318" s="13">
        <v>550804</v>
      </c>
      <c r="I318" s="13">
        <f t="shared" si="8"/>
        <v>80638.138995014611</v>
      </c>
      <c r="K318" s="58">
        <f t="shared" si="9"/>
        <v>0</v>
      </c>
      <c r="L318" s="56"/>
      <c r="M318" s="49"/>
      <c r="N318" s="49">
        <f>M318*I318</f>
        <v>0</v>
      </c>
    </row>
    <row r="319" spans="2:14">
      <c r="B319" s="2">
        <v>2023</v>
      </c>
      <c r="C319" s="2" t="s">
        <v>29</v>
      </c>
      <c r="D319" s="12" t="s">
        <v>15</v>
      </c>
      <c r="E319" s="12" t="s">
        <v>15</v>
      </c>
      <c r="F319" t="s">
        <v>33</v>
      </c>
      <c r="G319" s="3">
        <v>0.10736057701652624</v>
      </c>
      <c r="H319" s="13">
        <v>550804</v>
      </c>
      <c r="I319" s="13">
        <f t="shared" si="8"/>
        <v>59134.635263010721</v>
      </c>
      <c r="K319" s="58">
        <f t="shared" si="9"/>
        <v>0</v>
      </c>
      <c r="L319" s="56"/>
      <c r="M319" s="49"/>
      <c r="N319" s="49">
        <f>M319*I319</f>
        <v>0</v>
      </c>
    </row>
    <row r="320" spans="2:14">
      <c r="B320" s="2">
        <v>2023</v>
      </c>
      <c r="C320" s="2" t="s">
        <v>29</v>
      </c>
      <c r="D320" s="12" t="s">
        <v>15</v>
      </c>
      <c r="E320" s="12" t="s">
        <v>15</v>
      </c>
      <c r="F320" t="s">
        <v>34</v>
      </c>
      <c r="G320" s="3">
        <v>0.37088199332981786</v>
      </c>
      <c r="H320" s="13">
        <v>550804</v>
      </c>
      <c r="I320" s="13">
        <f t="shared" si="8"/>
        <v>204283.28545403699</v>
      </c>
      <c r="K320" s="58">
        <f t="shared" si="9"/>
        <v>0</v>
      </c>
      <c r="L320" s="56"/>
      <c r="M320" s="49"/>
      <c r="N320" s="49">
        <f>M320*I320</f>
        <v>0</v>
      </c>
    </row>
    <row r="321" spans="2:14">
      <c r="B321" s="2">
        <v>2023</v>
      </c>
      <c r="C321" s="2" t="s">
        <v>29</v>
      </c>
      <c r="D321" s="12" t="s">
        <v>15</v>
      </c>
      <c r="E321" s="12" t="s">
        <v>15</v>
      </c>
      <c r="F321" t="s">
        <v>35</v>
      </c>
      <c r="G321" s="3">
        <v>9.7600524560478394E-2</v>
      </c>
      <c r="H321" s="13">
        <v>550804</v>
      </c>
      <c r="I321" s="13">
        <f t="shared" si="8"/>
        <v>53758.759330009743</v>
      </c>
      <c r="K321" s="58">
        <f t="shared" si="9"/>
        <v>0</v>
      </c>
      <c r="L321" s="56"/>
      <c r="M321" s="49"/>
      <c r="N321" s="49">
        <f>M321*I321</f>
        <v>0</v>
      </c>
    </row>
    <row r="322" spans="2:14">
      <c r="B322" s="2">
        <v>2023</v>
      </c>
      <c r="C322" s="2" t="s">
        <v>29</v>
      </c>
      <c r="D322" s="12" t="s">
        <v>15</v>
      </c>
      <c r="E322" s="12" t="s">
        <v>15</v>
      </c>
      <c r="F322" t="s">
        <v>36</v>
      </c>
      <c r="G322" s="3">
        <v>0.11712062947257405</v>
      </c>
      <c r="H322" s="13">
        <v>550804</v>
      </c>
      <c r="I322" s="13">
        <f t="shared" si="8"/>
        <v>64510.511196011677</v>
      </c>
      <c r="K322" s="58">
        <f t="shared" si="9"/>
        <v>0</v>
      </c>
      <c r="L322" s="56"/>
      <c r="M322" s="49"/>
      <c r="N322" s="49">
        <f>M322*I322</f>
        <v>0</v>
      </c>
    </row>
    <row r="323" spans="2:14">
      <c r="B323" s="2">
        <v>2023</v>
      </c>
      <c r="C323" s="2" t="s">
        <v>29</v>
      </c>
      <c r="D323" s="12" t="s">
        <v>15</v>
      </c>
      <c r="E323" s="12" t="s">
        <v>15</v>
      </c>
      <c r="F323" t="s">
        <v>37</v>
      </c>
      <c r="G323" s="3">
        <v>0.13664073438466978</v>
      </c>
      <c r="H323" s="13">
        <v>550804</v>
      </c>
      <c r="I323" s="13">
        <f t="shared" ref="I323:I386" si="10">G323*H323</f>
        <v>75262.263062013648</v>
      </c>
      <c r="K323" s="58">
        <f t="shared" si="9"/>
        <v>0</v>
      </c>
      <c r="L323" s="56"/>
      <c r="M323" s="49"/>
      <c r="N323" s="49">
        <f>M323*I323</f>
        <v>0</v>
      </c>
    </row>
    <row r="324" spans="2:14">
      <c r="B324" s="2">
        <v>2023</v>
      </c>
      <c r="C324" s="2" t="s">
        <v>29</v>
      </c>
      <c r="D324" s="12" t="s">
        <v>15</v>
      </c>
      <c r="E324" s="12" t="s">
        <v>15</v>
      </c>
      <c r="F324" s="9" t="s">
        <v>38</v>
      </c>
      <c r="G324" s="10">
        <v>1</v>
      </c>
      <c r="H324" s="13">
        <v>550804</v>
      </c>
      <c r="I324" s="13">
        <f t="shared" si="10"/>
        <v>550804</v>
      </c>
      <c r="J324" s="29">
        <v>94250</v>
      </c>
      <c r="K324" s="58">
        <f t="shared" ref="K324:K387" si="11">IFERROR(I324/J324,0)</f>
        <v>5.8440742705570292</v>
      </c>
      <c r="L324" s="56"/>
      <c r="M324" s="49"/>
      <c r="N324" s="49">
        <f>M324*I324</f>
        <v>0</v>
      </c>
    </row>
    <row r="325" spans="2:14">
      <c r="B325" s="2">
        <v>2023</v>
      </c>
      <c r="C325" s="2" t="s">
        <v>30</v>
      </c>
      <c r="D325" s="12" t="s">
        <v>15</v>
      </c>
      <c r="E325" s="12" t="s">
        <v>15</v>
      </c>
      <c r="F325" t="s">
        <v>32</v>
      </c>
      <c r="G325" s="3">
        <v>0.14640078684071758</v>
      </c>
      <c r="H325" s="13">
        <v>450918</v>
      </c>
      <c r="I325" s="13">
        <f t="shared" si="10"/>
        <v>66014.750000642685</v>
      </c>
      <c r="K325" s="58">
        <f t="shared" si="11"/>
        <v>0</v>
      </c>
      <c r="L325" s="56"/>
      <c r="M325" s="49"/>
      <c r="N325" s="49">
        <f>M325*I325</f>
        <v>0</v>
      </c>
    </row>
    <row r="326" spans="2:14">
      <c r="B326" s="2">
        <v>2023</v>
      </c>
      <c r="C326" s="2" t="s">
        <v>30</v>
      </c>
      <c r="D326" s="12" t="s">
        <v>15</v>
      </c>
      <c r="E326" s="12" t="s">
        <v>15</v>
      </c>
      <c r="F326" t="s">
        <v>33</v>
      </c>
      <c r="G326" s="3">
        <v>0.10736057701652624</v>
      </c>
      <c r="H326" s="13">
        <v>450918</v>
      </c>
      <c r="I326" s="13">
        <f t="shared" si="10"/>
        <v>48410.81666713798</v>
      </c>
      <c r="K326" s="58">
        <f t="shared" si="11"/>
        <v>0</v>
      </c>
      <c r="L326" s="56"/>
      <c r="M326" s="49"/>
      <c r="N326" s="49">
        <f>M326*I326</f>
        <v>0</v>
      </c>
    </row>
    <row r="327" spans="2:14">
      <c r="B327" s="2">
        <v>2023</v>
      </c>
      <c r="C327" s="2" t="s">
        <v>30</v>
      </c>
      <c r="D327" s="12" t="s">
        <v>15</v>
      </c>
      <c r="E327" s="12" t="s">
        <v>15</v>
      </c>
      <c r="F327" t="s">
        <v>34</v>
      </c>
      <c r="G327" s="3">
        <v>0.37088199332981786</v>
      </c>
      <c r="H327" s="13">
        <v>450918</v>
      </c>
      <c r="I327" s="13">
        <f t="shared" si="10"/>
        <v>167237.36666829482</v>
      </c>
      <c r="K327" s="58">
        <f t="shared" si="11"/>
        <v>0</v>
      </c>
      <c r="L327" s="56"/>
      <c r="M327" s="49"/>
      <c r="N327" s="49">
        <f>M327*I327</f>
        <v>0</v>
      </c>
    </row>
    <row r="328" spans="2:14">
      <c r="B328" s="2">
        <v>2023</v>
      </c>
      <c r="C328" s="2" t="s">
        <v>30</v>
      </c>
      <c r="D328" s="12" t="s">
        <v>15</v>
      </c>
      <c r="E328" s="12" t="s">
        <v>15</v>
      </c>
      <c r="F328" t="s">
        <v>35</v>
      </c>
      <c r="G328" s="3">
        <v>9.7600524560478394E-2</v>
      </c>
      <c r="H328" s="13">
        <v>450918</v>
      </c>
      <c r="I328" s="13">
        <f t="shared" si="10"/>
        <v>44009.833333761795</v>
      </c>
      <c r="K328" s="58">
        <f t="shared" si="11"/>
        <v>0</v>
      </c>
      <c r="L328" s="56"/>
      <c r="M328" s="49"/>
      <c r="N328" s="49">
        <f>M328*I328</f>
        <v>0</v>
      </c>
    </row>
    <row r="329" spans="2:14">
      <c r="B329" s="2">
        <v>2023</v>
      </c>
      <c r="C329" s="2" t="s">
        <v>30</v>
      </c>
      <c r="D329" s="12" t="s">
        <v>15</v>
      </c>
      <c r="E329" s="12" t="s">
        <v>15</v>
      </c>
      <c r="F329" t="s">
        <v>36</v>
      </c>
      <c r="G329" s="3">
        <v>0.11712062947257405</v>
      </c>
      <c r="H329" s="13">
        <v>450918</v>
      </c>
      <c r="I329" s="13">
        <f t="shared" si="10"/>
        <v>52811.800000514144</v>
      </c>
      <c r="K329" s="58">
        <f t="shared" si="11"/>
        <v>0</v>
      </c>
      <c r="L329" s="56"/>
      <c r="M329" s="49"/>
      <c r="N329" s="49">
        <f>M329*I329</f>
        <v>0</v>
      </c>
    </row>
    <row r="330" spans="2:14">
      <c r="B330" s="2">
        <v>2023</v>
      </c>
      <c r="C330" s="2" t="s">
        <v>30</v>
      </c>
      <c r="D330" s="12" t="s">
        <v>15</v>
      </c>
      <c r="E330" s="12" t="s">
        <v>15</v>
      </c>
      <c r="F330" t="s">
        <v>37</v>
      </c>
      <c r="G330" s="3">
        <v>0.13664073438466978</v>
      </c>
      <c r="H330" s="13">
        <v>450918</v>
      </c>
      <c r="I330" s="13">
        <f t="shared" si="10"/>
        <v>61613.766667266529</v>
      </c>
      <c r="K330" s="58">
        <f t="shared" si="11"/>
        <v>0</v>
      </c>
      <c r="L330" s="56"/>
      <c r="M330" s="49"/>
      <c r="N330" s="49">
        <f>M330*I330</f>
        <v>0</v>
      </c>
    </row>
    <row r="331" spans="2:14">
      <c r="B331" s="2">
        <v>2023</v>
      </c>
      <c r="C331" s="2" t="s">
        <v>30</v>
      </c>
      <c r="D331" s="12" t="s">
        <v>15</v>
      </c>
      <c r="E331" s="12" t="s">
        <v>15</v>
      </c>
      <c r="F331" s="9" t="s">
        <v>38</v>
      </c>
      <c r="G331" s="10">
        <v>1</v>
      </c>
      <c r="H331" s="13">
        <v>450918</v>
      </c>
      <c r="I331" s="13">
        <f t="shared" si="10"/>
        <v>450918</v>
      </c>
      <c r="J331" s="29">
        <v>70140</v>
      </c>
      <c r="K331" s="58">
        <f t="shared" si="11"/>
        <v>6.4288280581693753</v>
      </c>
      <c r="L331" s="56"/>
      <c r="M331" s="49"/>
      <c r="N331" s="49">
        <f>M331*I331</f>
        <v>0</v>
      </c>
    </row>
    <row r="332" spans="2:14">
      <c r="B332" s="2">
        <v>2023</v>
      </c>
      <c r="C332" s="2" t="s">
        <v>31</v>
      </c>
      <c r="D332" s="12" t="s">
        <v>15</v>
      </c>
      <c r="E332" s="12" t="s">
        <v>15</v>
      </c>
      <c r="F332" t="s">
        <v>32</v>
      </c>
      <c r="G332" s="3">
        <v>0.14640078684071758</v>
      </c>
      <c r="H332" s="13">
        <v>558478</v>
      </c>
      <c r="I332" s="13">
        <f t="shared" si="10"/>
        <v>81761.618633230275</v>
      </c>
      <c r="K332" s="58">
        <f t="shared" si="11"/>
        <v>0</v>
      </c>
      <c r="L332" s="56"/>
      <c r="M332" s="49"/>
      <c r="N332" s="49">
        <f>M332*I332</f>
        <v>0</v>
      </c>
    </row>
    <row r="333" spans="2:14">
      <c r="B333" s="2">
        <v>2023</v>
      </c>
      <c r="C333" s="2" t="s">
        <v>31</v>
      </c>
      <c r="D333" s="12" t="s">
        <v>15</v>
      </c>
      <c r="E333" s="12" t="s">
        <v>15</v>
      </c>
      <c r="F333" t="s">
        <v>33</v>
      </c>
      <c r="G333" s="3">
        <v>0.10736057701652624</v>
      </c>
      <c r="H333" s="13">
        <v>558478</v>
      </c>
      <c r="I333" s="13">
        <f t="shared" si="10"/>
        <v>59958.520331035543</v>
      </c>
      <c r="K333" s="58">
        <f t="shared" si="11"/>
        <v>0</v>
      </c>
      <c r="L333" s="56"/>
      <c r="M333" s="49"/>
      <c r="N333" s="49">
        <f>M333*I333</f>
        <v>0</v>
      </c>
    </row>
    <row r="334" spans="2:14">
      <c r="B334" s="2">
        <v>2023</v>
      </c>
      <c r="C334" s="2" t="s">
        <v>31</v>
      </c>
      <c r="D334" s="12" t="s">
        <v>15</v>
      </c>
      <c r="E334" s="12" t="s">
        <v>15</v>
      </c>
      <c r="F334" t="s">
        <v>34</v>
      </c>
      <c r="G334" s="3">
        <v>0.37088199332981786</v>
      </c>
      <c r="H334" s="13">
        <v>558478</v>
      </c>
      <c r="I334" s="13">
        <f t="shared" si="10"/>
        <v>207129.43387085001</v>
      </c>
      <c r="K334" s="58">
        <f t="shared" si="11"/>
        <v>0</v>
      </c>
      <c r="L334" s="56"/>
      <c r="M334" s="49"/>
      <c r="N334" s="49">
        <f>M334*I334</f>
        <v>0</v>
      </c>
    </row>
    <row r="335" spans="2:14">
      <c r="B335" s="2">
        <v>2023</v>
      </c>
      <c r="C335" s="2" t="s">
        <v>31</v>
      </c>
      <c r="D335" s="12" t="s">
        <v>15</v>
      </c>
      <c r="E335" s="12" t="s">
        <v>15</v>
      </c>
      <c r="F335" t="s">
        <v>35</v>
      </c>
      <c r="G335" s="3">
        <v>9.7600524560478394E-2</v>
      </c>
      <c r="H335" s="13">
        <v>558478</v>
      </c>
      <c r="I335" s="13">
        <f t="shared" si="10"/>
        <v>54507.745755486852</v>
      </c>
      <c r="K335" s="58">
        <f t="shared" si="11"/>
        <v>0</v>
      </c>
      <c r="L335" s="56"/>
      <c r="M335" s="49"/>
      <c r="N335" s="49">
        <f>M335*I335</f>
        <v>0</v>
      </c>
    </row>
    <row r="336" spans="2:14">
      <c r="B336" s="2">
        <v>2023</v>
      </c>
      <c r="C336" s="2" t="s">
        <v>31</v>
      </c>
      <c r="D336" s="12" t="s">
        <v>15</v>
      </c>
      <c r="E336" s="12" t="s">
        <v>15</v>
      </c>
      <c r="F336" t="s">
        <v>36</v>
      </c>
      <c r="G336" s="3">
        <v>0.11712062947257405</v>
      </c>
      <c r="H336" s="13">
        <v>558478</v>
      </c>
      <c r="I336" s="13">
        <f t="shared" si="10"/>
        <v>65409.294906584211</v>
      </c>
      <c r="K336" s="58">
        <f t="shared" si="11"/>
        <v>0</v>
      </c>
      <c r="L336" s="56"/>
      <c r="M336" s="49"/>
      <c r="N336" s="49">
        <f>M336*I336</f>
        <v>0</v>
      </c>
    </row>
    <row r="337" spans="2:14">
      <c r="B337" s="2">
        <v>2023</v>
      </c>
      <c r="C337" s="2" t="s">
        <v>31</v>
      </c>
      <c r="D337" s="12" t="s">
        <v>15</v>
      </c>
      <c r="E337" s="12" t="s">
        <v>15</v>
      </c>
      <c r="F337" t="s">
        <v>37</v>
      </c>
      <c r="G337" s="3">
        <v>0.13664073438466978</v>
      </c>
      <c r="H337" s="13">
        <v>558478</v>
      </c>
      <c r="I337" s="13">
        <f t="shared" si="10"/>
        <v>76310.844057681607</v>
      </c>
      <c r="K337" s="58">
        <f t="shared" si="11"/>
        <v>0</v>
      </c>
      <c r="L337" s="56"/>
      <c r="M337" s="49"/>
      <c r="N337" s="49">
        <f>M337*I337</f>
        <v>0</v>
      </c>
    </row>
    <row r="338" spans="2:14">
      <c r="B338" s="2">
        <v>2023</v>
      </c>
      <c r="C338" s="2" t="s">
        <v>31</v>
      </c>
      <c r="D338" s="12" t="s">
        <v>15</v>
      </c>
      <c r="E338" s="12" t="s">
        <v>15</v>
      </c>
      <c r="F338" s="9" t="s">
        <v>38</v>
      </c>
      <c r="G338" s="10">
        <v>1</v>
      </c>
      <c r="H338" s="13">
        <v>558478</v>
      </c>
      <c r="I338" s="13">
        <f t="shared" si="10"/>
        <v>558478</v>
      </c>
      <c r="J338" s="29">
        <v>81260.17</v>
      </c>
      <c r="K338" s="58">
        <f t="shared" si="11"/>
        <v>6.8727151321489979</v>
      </c>
      <c r="L338" s="56"/>
      <c r="M338" s="49"/>
      <c r="N338" s="49">
        <f>M338*I338</f>
        <v>0</v>
      </c>
    </row>
    <row r="339" spans="2:14">
      <c r="B339" s="2">
        <v>2023</v>
      </c>
      <c r="C339" s="2" t="s">
        <v>14</v>
      </c>
      <c r="D339" s="12" t="s">
        <v>15</v>
      </c>
      <c r="E339" s="12" t="s">
        <v>15</v>
      </c>
      <c r="F339" t="s">
        <v>32</v>
      </c>
      <c r="G339" s="3">
        <v>0.14640078684071758</v>
      </c>
      <c r="H339" s="13">
        <v>608679</v>
      </c>
      <c r="I339" s="13">
        <f t="shared" si="10"/>
        <v>89111.084533421134</v>
      </c>
      <c r="J339" s="29">
        <v>18862.502700000001</v>
      </c>
      <c r="K339" s="58">
        <f t="shared" si="11"/>
        <v>4.7242450246764509</v>
      </c>
      <c r="L339" s="56"/>
      <c r="M339" s="49"/>
      <c r="N339" s="49">
        <f>M339*I339</f>
        <v>0</v>
      </c>
    </row>
    <row r="340" spans="2:14">
      <c r="B340" s="2">
        <v>2023</v>
      </c>
      <c r="C340" s="2" t="s">
        <v>14</v>
      </c>
      <c r="D340" s="12" t="s">
        <v>15</v>
      </c>
      <c r="E340" s="12" t="s">
        <v>15</v>
      </c>
      <c r="F340" t="s">
        <v>33</v>
      </c>
      <c r="G340" s="3">
        <v>0.10736057701652624</v>
      </c>
      <c r="H340" s="13">
        <v>608679</v>
      </c>
      <c r="I340" s="13">
        <f t="shared" si="10"/>
        <v>65348.128657842171</v>
      </c>
      <c r="J340" s="29">
        <v>15199.912091952383</v>
      </c>
      <c r="K340" s="58">
        <f t="shared" si="11"/>
        <v>4.2992438549984007</v>
      </c>
      <c r="L340" s="56"/>
      <c r="M340" s="49"/>
      <c r="N340" s="49">
        <f>M340*I340</f>
        <v>0</v>
      </c>
    </row>
    <row r="341" spans="2:14">
      <c r="B341" s="2">
        <v>2023</v>
      </c>
      <c r="C341" s="2" t="s">
        <v>14</v>
      </c>
      <c r="D341" s="12" t="s">
        <v>15</v>
      </c>
      <c r="E341" s="12" t="s">
        <v>15</v>
      </c>
      <c r="F341" t="s">
        <v>34</v>
      </c>
      <c r="G341" s="3">
        <v>0.37088199332981786</v>
      </c>
      <c r="H341" s="13">
        <v>608679</v>
      </c>
      <c r="I341" s="13">
        <f t="shared" si="10"/>
        <v>225748.08081800019</v>
      </c>
      <c r="J341" s="29">
        <v>19916.698355263161</v>
      </c>
      <c r="K341" s="58">
        <f t="shared" si="11"/>
        <v>11.334613638828561</v>
      </c>
      <c r="L341" s="56"/>
      <c r="M341" s="49"/>
      <c r="N341" s="49">
        <f>M341*I341</f>
        <v>0</v>
      </c>
    </row>
    <row r="342" spans="2:14">
      <c r="B342" s="2">
        <v>2023</v>
      </c>
      <c r="C342" s="2" t="s">
        <v>14</v>
      </c>
      <c r="D342" s="12" t="s">
        <v>15</v>
      </c>
      <c r="E342" s="12" t="s">
        <v>15</v>
      </c>
      <c r="F342" t="s">
        <v>35</v>
      </c>
      <c r="G342" s="3">
        <v>9.7600524560478394E-2</v>
      </c>
      <c r="H342" s="13">
        <v>608679</v>
      </c>
      <c r="I342" s="13">
        <f t="shared" si="10"/>
        <v>59407.389688947427</v>
      </c>
      <c r="J342" s="29">
        <v>20406.310964285727</v>
      </c>
      <c r="K342" s="58">
        <f t="shared" si="11"/>
        <v>2.9112263256656119</v>
      </c>
      <c r="L342" s="56"/>
      <c r="M342" s="49"/>
      <c r="N342" s="49">
        <f>M342*I342</f>
        <v>0</v>
      </c>
    </row>
    <row r="343" spans="2:14">
      <c r="B343" s="2">
        <v>2023</v>
      </c>
      <c r="C343" s="2" t="s">
        <v>14</v>
      </c>
      <c r="D343" s="12" t="s">
        <v>15</v>
      </c>
      <c r="E343" s="12" t="s">
        <v>15</v>
      </c>
      <c r="F343" t="s">
        <v>36</v>
      </c>
      <c r="G343" s="3">
        <v>0.11712062947257405</v>
      </c>
      <c r="H343" s="13">
        <v>608679</v>
      </c>
      <c r="I343" s="13">
        <f t="shared" si="10"/>
        <v>71288.867626736901</v>
      </c>
      <c r="J343" s="29">
        <v>21679.384976190151</v>
      </c>
      <c r="K343" s="58">
        <f t="shared" si="11"/>
        <v>3.2883251856559319</v>
      </c>
      <c r="L343" s="56"/>
      <c r="M343" s="49"/>
      <c r="N343" s="49">
        <f>M343*I343</f>
        <v>0</v>
      </c>
    </row>
    <row r="344" spans="2:14">
      <c r="B344" s="2">
        <v>2023</v>
      </c>
      <c r="C344" s="2" t="s">
        <v>14</v>
      </c>
      <c r="D344" s="12" t="s">
        <v>15</v>
      </c>
      <c r="E344" s="12" t="s">
        <v>15</v>
      </c>
      <c r="F344" t="s">
        <v>37</v>
      </c>
      <c r="G344" s="3">
        <v>0.13664073438466978</v>
      </c>
      <c r="H344" s="13">
        <v>608679</v>
      </c>
      <c r="I344" s="13">
        <f t="shared" si="10"/>
        <v>83170.345564526418</v>
      </c>
      <c r="J344" s="29">
        <v>10758.751861904677</v>
      </c>
      <c r="K344" s="58">
        <f t="shared" si="11"/>
        <v>7.7304827392684512</v>
      </c>
      <c r="L344" s="56"/>
      <c r="M344" s="49"/>
      <c r="N344" s="49">
        <f>M344*I344</f>
        <v>0</v>
      </c>
    </row>
    <row r="345" spans="2:14">
      <c r="B345" s="2">
        <v>2023</v>
      </c>
      <c r="C345" s="2" t="s">
        <v>14</v>
      </c>
      <c r="D345" s="12" t="s">
        <v>15</v>
      </c>
      <c r="E345" s="12" t="s">
        <v>15</v>
      </c>
      <c r="F345" s="9" t="s">
        <v>38</v>
      </c>
      <c r="G345" s="10">
        <v>1</v>
      </c>
      <c r="H345" s="13">
        <v>608679</v>
      </c>
      <c r="I345" s="13">
        <f t="shared" si="10"/>
        <v>608679</v>
      </c>
      <c r="J345" s="29">
        <v>106823.5609495961</v>
      </c>
      <c r="K345" s="58">
        <f t="shared" si="11"/>
        <v>5.6979845512470852</v>
      </c>
      <c r="L345" s="56"/>
      <c r="M345" s="49"/>
      <c r="N345" s="49">
        <f>M345*I345</f>
        <v>0</v>
      </c>
    </row>
    <row r="346" spans="2:14">
      <c r="B346" s="2">
        <v>2023</v>
      </c>
      <c r="C346" s="2" t="s">
        <v>21</v>
      </c>
      <c r="D346" s="12" t="s">
        <v>15</v>
      </c>
      <c r="E346" s="12" t="s">
        <v>15</v>
      </c>
      <c r="F346" t="s">
        <v>32</v>
      </c>
      <c r="G346" s="3">
        <v>0.14640078684071758</v>
      </c>
      <c r="H346" s="13">
        <v>655283</v>
      </c>
      <c r="I346" s="13">
        <f t="shared" si="10"/>
        <v>95933.946803345942</v>
      </c>
      <c r="J346" s="29">
        <v>18195.483</v>
      </c>
      <c r="K346" s="58">
        <f t="shared" si="11"/>
        <v>5.2724045194813431</v>
      </c>
      <c r="L346" s="56"/>
      <c r="M346" s="49"/>
      <c r="N346" s="49">
        <f>M346*I346</f>
        <v>0</v>
      </c>
    </row>
    <row r="347" spans="2:14">
      <c r="B347" s="2">
        <v>2023</v>
      </c>
      <c r="C347" s="2" t="s">
        <v>21</v>
      </c>
      <c r="D347" s="12" t="s">
        <v>15</v>
      </c>
      <c r="E347" s="12" t="s">
        <v>15</v>
      </c>
      <c r="F347" t="s">
        <v>33</v>
      </c>
      <c r="G347" s="3">
        <v>0.10736057701652624</v>
      </c>
      <c r="H347" s="13">
        <v>655283</v>
      </c>
      <c r="I347" s="13">
        <f t="shared" si="10"/>
        <v>70351.560989120364</v>
      </c>
      <c r="J347" s="29">
        <v>14883.061334380956</v>
      </c>
      <c r="K347" s="58">
        <f t="shared" si="11"/>
        <v>4.7269549865122933</v>
      </c>
      <c r="L347" s="56"/>
      <c r="M347" s="49"/>
      <c r="N347" s="49">
        <f>M347*I347</f>
        <v>0</v>
      </c>
    </row>
    <row r="348" spans="2:14">
      <c r="B348" s="2">
        <v>2023</v>
      </c>
      <c r="C348" s="2" t="s">
        <v>21</v>
      </c>
      <c r="D348" s="12" t="s">
        <v>15</v>
      </c>
      <c r="E348" s="12" t="s">
        <v>15</v>
      </c>
      <c r="F348" t="s">
        <v>34</v>
      </c>
      <c r="G348" s="3">
        <v>0.37088199332981786</v>
      </c>
      <c r="H348" s="13">
        <v>655283</v>
      </c>
      <c r="I348" s="13">
        <f t="shared" si="10"/>
        <v>243032.66523514304</v>
      </c>
      <c r="J348" s="29">
        <v>20221.157236842108</v>
      </c>
      <c r="K348" s="58">
        <f t="shared" si="11"/>
        <v>12.018731786148601</v>
      </c>
      <c r="L348" s="56"/>
      <c r="M348" s="49"/>
      <c r="N348" s="49">
        <f>M348*I348</f>
        <v>0</v>
      </c>
    </row>
    <row r="349" spans="2:14">
      <c r="B349" s="2">
        <v>2023</v>
      </c>
      <c r="C349" s="2" t="s">
        <v>21</v>
      </c>
      <c r="D349" s="12" t="s">
        <v>15</v>
      </c>
      <c r="E349" s="12" t="s">
        <v>15</v>
      </c>
      <c r="F349" t="s">
        <v>35</v>
      </c>
      <c r="G349" s="3">
        <v>9.7600524560478394E-2</v>
      </c>
      <c r="H349" s="13">
        <v>655283</v>
      </c>
      <c r="I349" s="13">
        <f t="shared" si="10"/>
        <v>63955.964535563966</v>
      </c>
      <c r="J349" s="29">
        <v>20223.837273333298</v>
      </c>
      <c r="K349" s="58">
        <f t="shared" si="11"/>
        <v>3.1624050209252266</v>
      </c>
      <c r="L349" s="56"/>
      <c r="M349" s="49"/>
      <c r="N349" s="49">
        <f>M349*I349</f>
        <v>0</v>
      </c>
    </row>
    <row r="350" spans="2:14">
      <c r="B350" s="2">
        <v>2023</v>
      </c>
      <c r="C350" s="2" t="s">
        <v>21</v>
      </c>
      <c r="D350" s="12" t="s">
        <v>15</v>
      </c>
      <c r="E350" s="12" t="s">
        <v>15</v>
      </c>
      <c r="F350" t="s">
        <v>36</v>
      </c>
      <c r="G350" s="3">
        <v>0.11712062947257405</v>
      </c>
      <c r="H350" s="13">
        <v>655283</v>
      </c>
      <c r="I350" s="13">
        <f t="shared" si="10"/>
        <v>76747.157442676747</v>
      </c>
      <c r="J350" s="29">
        <v>11265.981509523708</v>
      </c>
      <c r="K350" s="58">
        <f t="shared" si="11"/>
        <v>6.8122921538437167</v>
      </c>
      <c r="L350" s="56"/>
      <c r="M350" s="49"/>
      <c r="N350" s="49">
        <f>M350*I350</f>
        <v>0</v>
      </c>
    </row>
    <row r="351" spans="2:14">
      <c r="B351" s="2">
        <v>2023</v>
      </c>
      <c r="C351" s="2" t="s">
        <v>21</v>
      </c>
      <c r="D351" s="12" t="s">
        <v>15</v>
      </c>
      <c r="E351" s="12" t="s">
        <v>15</v>
      </c>
      <c r="F351" t="s">
        <v>37</v>
      </c>
      <c r="G351" s="3">
        <v>0.13664073438466978</v>
      </c>
      <c r="H351" s="13">
        <v>655283</v>
      </c>
      <c r="I351" s="13">
        <f t="shared" si="10"/>
        <v>89538.350349789573</v>
      </c>
      <c r="J351" s="29">
        <v>24375.254309523607</v>
      </c>
      <c r="K351" s="58">
        <f t="shared" si="11"/>
        <v>3.6733298948518547</v>
      </c>
      <c r="L351" s="56"/>
      <c r="M351" s="49"/>
      <c r="N351" s="49">
        <f>M351*I351</f>
        <v>0</v>
      </c>
    </row>
    <row r="352" spans="2:14">
      <c r="B352" s="2">
        <v>2023</v>
      </c>
      <c r="C352" s="2" t="s">
        <v>21</v>
      </c>
      <c r="D352" s="12" t="s">
        <v>15</v>
      </c>
      <c r="E352" s="12" t="s">
        <v>15</v>
      </c>
      <c r="F352" s="9" t="s">
        <v>38</v>
      </c>
      <c r="G352" s="10">
        <v>1</v>
      </c>
      <c r="H352" s="13">
        <v>655283</v>
      </c>
      <c r="I352" s="13">
        <f t="shared" si="10"/>
        <v>655283</v>
      </c>
      <c r="J352" s="29">
        <v>109164.77466360368</v>
      </c>
      <c r="K352" s="58">
        <f t="shared" si="11"/>
        <v>6.0026964010990271</v>
      </c>
      <c r="L352" s="56"/>
      <c r="M352" s="49"/>
      <c r="N352" s="49">
        <f>M352*I352</f>
        <v>0</v>
      </c>
    </row>
    <row r="353" spans="2:14">
      <c r="B353" s="2">
        <v>2023</v>
      </c>
      <c r="C353" s="2" t="s">
        <v>22</v>
      </c>
      <c r="D353" s="12" t="s">
        <v>15</v>
      </c>
      <c r="E353" s="12" t="s">
        <v>15</v>
      </c>
      <c r="F353" t="s">
        <v>32</v>
      </c>
      <c r="G353" s="3">
        <v>0.14640078684071758</v>
      </c>
      <c r="H353" s="13">
        <v>662248</v>
      </c>
      <c r="I353" s="13">
        <f t="shared" si="10"/>
        <v>96953.628283691534</v>
      </c>
      <c r="J353" s="29">
        <v>17031.4385</v>
      </c>
      <c r="K353" s="58">
        <f t="shared" si="11"/>
        <v>5.6926270956908036</v>
      </c>
      <c r="L353" s="56"/>
      <c r="M353" s="49"/>
      <c r="N353" s="49">
        <f>M353*I353</f>
        <v>0</v>
      </c>
    </row>
    <row r="354" spans="2:14">
      <c r="B354" s="2">
        <v>2023</v>
      </c>
      <c r="C354" s="2" t="s">
        <v>22</v>
      </c>
      <c r="D354" s="12" t="s">
        <v>15</v>
      </c>
      <c r="E354" s="12" t="s">
        <v>15</v>
      </c>
      <c r="F354" t="s">
        <v>33</v>
      </c>
      <c r="G354" s="3">
        <v>0.10736057701652624</v>
      </c>
      <c r="H354" s="13">
        <v>662248</v>
      </c>
      <c r="I354" s="13">
        <f t="shared" si="10"/>
        <v>71099.327408040466</v>
      </c>
      <c r="J354" s="29">
        <v>15582.837904571432</v>
      </c>
      <c r="K354" s="58">
        <f t="shared" si="11"/>
        <v>4.5626687413069051</v>
      </c>
      <c r="L354" s="56"/>
      <c r="M354" s="49"/>
      <c r="N354" s="49">
        <f>M354*I354</f>
        <v>0</v>
      </c>
    </row>
    <row r="355" spans="2:14">
      <c r="B355" s="2">
        <v>2023</v>
      </c>
      <c r="C355" s="2" t="s">
        <v>22</v>
      </c>
      <c r="D355" s="12" t="s">
        <v>15</v>
      </c>
      <c r="E355" s="12" t="s">
        <v>15</v>
      </c>
      <c r="F355" t="s">
        <v>34</v>
      </c>
      <c r="G355" s="3">
        <v>0.37088199332981786</v>
      </c>
      <c r="H355" s="13">
        <v>662248</v>
      </c>
      <c r="I355" s="13">
        <f t="shared" si="10"/>
        <v>245615.8583186852</v>
      </c>
      <c r="J355" s="29">
        <v>21174.284539473683</v>
      </c>
      <c r="K355" s="58">
        <f t="shared" si="11"/>
        <v>11.599724083276644</v>
      </c>
      <c r="L355" s="56"/>
      <c r="M355" s="49"/>
      <c r="N355" s="49">
        <f>M355*I355</f>
        <v>0</v>
      </c>
    </row>
    <row r="356" spans="2:14">
      <c r="B356" s="2">
        <v>2023</v>
      </c>
      <c r="C356" s="2" t="s">
        <v>22</v>
      </c>
      <c r="D356" s="12" t="s">
        <v>15</v>
      </c>
      <c r="E356" s="12" t="s">
        <v>15</v>
      </c>
      <c r="F356" t="s">
        <v>35</v>
      </c>
      <c r="G356" s="3">
        <v>9.7600524560478394E-2</v>
      </c>
      <c r="H356" s="13">
        <v>662248</v>
      </c>
      <c r="I356" s="13">
        <f t="shared" si="10"/>
        <v>64635.752189127692</v>
      </c>
      <c r="J356" s="29">
        <v>19199.541952380878</v>
      </c>
      <c r="K356" s="58">
        <f t="shared" si="11"/>
        <v>3.3665257405327007</v>
      </c>
      <c r="L356" s="56"/>
      <c r="M356" s="49"/>
      <c r="N356" s="49">
        <f>M356*I356</f>
        <v>0</v>
      </c>
    </row>
    <row r="357" spans="2:14">
      <c r="B357" s="2">
        <v>2023</v>
      </c>
      <c r="C357" s="2" t="s">
        <v>22</v>
      </c>
      <c r="D357" s="12" t="s">
        <v>15</v>
      </c>
      <c r="E357" s="12" t="s">
        <v>15</v>
      </c>
      <c r="F357" t="s">
        <v>36</v>
      </c>
      <c r="G357" s="3">
        <v>0.11712062947257405</v>
      </c>
      <c r="H357" s="13">
        <v>662248</v>
      </c>
      <c r="I357" s="13">
        <f t="shared" si="10"/>
        <v>77562.902626953219</v>
      </c>
      <c r="J357" s="29">
        <v>23155.96702380904</v>
      </c>
      <c r="K357" s="58">
        <f t="shared" si="11"/>
        <v>3.3495859856426118</v>
      </c>
      <c r="L357" s="56"/>
      <c r="M357" s="49"/>
      <c r="N357" s="49">
        <f>M357*I357</f>
        <v>0</v>
      </c>
    </row>
    <row r="358" spans="2:14">
      <c r="B358" s="2">
        <v>2023</v>
      </c>
      <c r="C358" s="2" t="s">
        <v>22</v>
      </c>
      <c r="D358" s="12" t="s">
        <v>15</v>
      </c>
      <c r="E358" s="12" t="s">
        <v>15</v>
      </c>
      <c r="F358" t="s">
        <v>37</v>
      </c>
      <c r="G358" s="3">
        <v>0.13664073438466978</v>
      </c>
      <c r="H358" s="13">
        <v>662248</v>
      </c>
      <c r="I358" s="13">
        <f t="shared" si="10"/>
        <v>90490.053064778796</v>
      </c>
      <c r="J358" s="29">
        <v>11824.146619999863</v>
      </c>
      <c r="K358" s="58">
        <f t="shared" si="11"/>
        <v>7.6529880737202705</v>
      </c>
      <c r="L358" s="56"/>
      <c r="M358" s="49"/>
      <c r="N358" s="49">
        <f>M358*I358</f>
        <v>0</v>
      </c>
    </row>
    <row r="359" spans="2:14">
      <c r="B359" s="2">
        <v>2024</v>
      </c>
      <c r="C359" s="2" t="s">
        <v>22</v>
      </c>
      <c r="D359" s="12" t="s">
        <v>15</v>
      </c>
      <c r="E359" s="12" t="s">
        <v>15</v>
      </c>
      <c r="F359" s="9" t="s">
        <v>38</v>
      </c>
      <c r="G359" s="10">
        <v>1</v>
      </c>
      <c r="H359" s="13">
        <v>662248</v>
      </c>
      <c r="I359" s="13">
        <f t="shared" si="10"/>
        <v>662248</v>
      </c>
      <c r="J359" s="29">
        <v>107968.21654023489</v>
      </c>
      <c r="K359" s="58">
        <f t="shared" si="11"/>
        <v>6.13373102956841</v>
      </c>
      <c r="L359" s="56"/>
      <c r="M359" s="49"/>
      <c r="N359" s="49">
        <f>M359*I359</f>
        <v>0</v>
      </c>
    </row>
    <row r="360" spans="2:14">
      <c r="B360" s="2">
        <v>2024</v>
      </c>
      <c r="C360" s="2" t="s">
        <v>23</v>
      </c>
      <c r="D360" s="12" t="s">
        <v>15</v>
      </c>
      <c r="E360" s="12" t="s">
        <v>15</v>
      </c>
      <c r="F360" t="s">
        <v>32</v>
      </c>
      <c r="G360" s="3">
        <v>0.14640078684071758</v>
      </c>
      <c r="H360" s="13">
        <v>562215</v>
      </c>
      <c r="I360" s="13">
        <f t="shared" si="10"/>
        <v>82308.718373654032</v>
      </c>
      <c r="J360" s="29">
        <v>16608.166000000001</v>
      </c>
      <c r="K360" s="58">
        <f t="shared" si="11"/>
        <v>4.9559185748537216</v>
      </c>
      <c r="L360" s="56"/>
      <c r="M360" s="49"/>
      <c r="N360" s="49">
        <f>M360*I360</f>
        <v>0</v>
      </c>
    </row>
    <row r="361" spans="2:14">
      <c r="B361" s="2">
        <v>2024</v>
      </c>
      <c r="C361" s="2" t="s">
        <v>23</v>
      </c>
      <c r="D361" s="12" t="s">
        <v>15</v>
      </c>
      <c r="E361" s="12" t="s">
        <v>15</v>
      </c>
      <c r="F361" t="s">
        <v>33</v>
      </c>
      <c r="G361" s="3">
        <v>0.10736057701652624</v>
      </c>
      <c r="H361" s="13">
        <v>562215</v>
      </c>
      <c r="I361" s="13">
        <f t="shared" si="10"/>
        <v>60359.726807346298</v>
      </c>
      <c r="J361" s="29">
        <v>14560.948789476191</v>
      </c>
      <c r="K361" s="58">
        <f t="shared" si="11"/>
        <v>4.1453155065671821</v>
      </c>
      <c r="L361" s="56"/>
      <c r="M361" s="49"/>
      <c r="N361" s="49">
        <f>M361*I361</f>
        <v>0</v>
      </c>
    </row>
    <row r="362" spans="2:14">
      <c r="B362" s="2">
        <v>2024</v>
      </c>
      <c r="C362" s="2" t="s">
        <v>23</v>
      </c>
      <c r="D362" s="12" t="s">
        <v>15</v>
      </c>
      <c r="E362" s="12" t="s">
        <v>15</v>
      </c>
      <c r="F362" t="s">
        <v>34</v>
      </c>
      <c r="G362" s="3">
        <v>0.37088199332981786</v>
      </c>
      <c r="H362" s="13">
        <v>562215</v>
      </c>
      <c r="I362" s="13">
        <f t="shared" si="10"/>
        <v>208515.41987992355</v>
      </c>
      <c r="J362" s="29">
        <v>18699.276644736845</v>
      </c>
      <c r="K362" s="58">
        <f t="shared" si="11"/>
        <v>11.150988556480495</v>
      </c>
      <c r="L362" s="56"/>
      <c r="M362" s="49"/>
      <c r="N362" s="49">
        <f>M362*I362</f>
        <v>0</v>
      </c>
    </row>
    <row r="363" spans="2:14">
      <c r="B363" s="2">
        <v>2024</v>
      </c>
      <c r="C363" s="2" t="s">
        <v>23</v>
      </c>
      <c r="D363" s="12" t="s">
        <v>15</v>
      </c>
      <c r="E363" s="12" t="s">
        <v>15</v>
      </c>
      <c r="F363" t="s">
        <v>35</v>
      </c>
      <c r="G363" s="3">
        <v>9.7600524560478394E-2</v>
      </c>
      <c r="H363" s="13">
        <v>562215</v>
      </c>
      <c r="I363" s="13">
        <f t="shared" si="10"/>
        <v>54872.478915769359</v>
      </c>
      <c r="J363" s="29">
        <v>19054.930175237954</v>
      </c>
      <c r="K363" s="58">
        <f t="shared" si="11"/>
        <v>2.8796998158028737</v>
      </c>
      <c r="L363" s="56"/>
      <c r="M363" s="49"/>
      <c r="N363" s="49">
        <f>M363*I363</f>
        <v>0</v>
      </c>
    </row>
    <row r="364" spans="2:14">
      <c r="B364" s="2">
        <v>2024</v>
      </c>
      <c r="C364" s="2" t="s">
        <v>23</v>
      </c>
      <c r="D364" s="12" t="s">
        <v>15</v>
      </c>
      <c r="E364" s="12" t="s">
        <v>15</v>
      </c>
      <c r="F364" t="s">
        <v>36</v>
      </c>
      <c r="G364" s="3">
        <v>0.11712062947257405</v>
      </c>
      <c r="H364" s="13">
        <v>562215</v>
      </c>
      <c r="I364" s="13">
        <f t="shared" si="10"/>
        <v>65846.974698923223</v>
      </c>
      <c r="J364" s="29">
        <v>21931.121476190292</v>
      </c>
      <c r="K364" s="58">
        <f t="shared" si="11"/>
        <v>3.0024444837629733</v>
      </c>
      <c r="L364" s="56"/>
      <c r="M364" s="49"/>
      <c r="N364" s="49">
        <f>M364*I364</f>
        <v>0</v>
      </c>
    </row>
    <row r="365" spans="2:14">
      <c r="B365" s="2">
        <v>2024</v>
      </c>
      <c r="C365" s="2" t="s">
        <v>23</v>
      </c>
      <c r="D365" s="12" t="s">
        <v>15</v>
      </c>
      <c r="E365" s="12" t="s">
        <v>15</v>
      </c>
      <c r="F365" t="s">
        <v>37</v>
      </c>
      <c r="G365" s="3">
        <v>0.13664073438466978</v>
      </c>
      <c r="H365" s="13">
        <v>562215</v>
      </c>
      <c r="I365" s="13">
        <f t="shared" si="10"/>
        <v>76821.470482077115</v>
      </c>
      <c r="J365" s="29">
        <v>9367.9340285713879</v>
      </c>
      <c r="K365" s="58">
        <f t="shared" si="11"/>
        <v>8.2004709093572057</v>
      </c>
      <c r="L365" s="56"/>
      <c r="M365" s="49"/>
      <c r="N365" s="49">
        <f>M365*I365</f>
        <v>0</v>
      </c>
    </row>
    <row r="366" spans="2:14">
      <c r="B366" s="2">
        <v>2024</v>
      </c>
      <c r="C366" s="2" t="s">
        <v>23</v>
      </c>
      <c r="D366" s="12" t="s">
        <v>15</v>
      </c>
      <c r="E366" s="12" t="s">
        <v>15</v>
      </c>
      <c r="F366" s="9" t="s">
        <v>38</v>
      </c>
      <c r="G366" s="10">
        <v>1</v>
      </c>
      <c r="H366" s="13">
        <v>562215</v>
      </c>
      <c r="I366" s="13">
        <f t="shared" si="10"/>
        <v>562215</v>
      </c>
      <c r="J366" s="29">
        <v>100222.37711421268</v>
      </c>
      <c r="K366" s="58">
        <f t="shared" si="11"/>
        <v>5.609675365804824</v>
      </c>
      <c r="L366" s="56"/>
      <c r="M366" s="49"/>
      <c r="N366" s="49">
        <f>M366*I366</f>
        <v>0</v>
      </c>
    </row>
    <row r="367" spans="2:14">
      <c r="B367" s="2">
        <v>2024</v>
      </c>
      <c r="C367" s="2" t="s">
        <v>24</v>
      </c>
      <c r="D367" s="12" t="s">
        <v>15</v>
      </c>
      <c r="E367" s="12" t="s">
        <v>15</v>
      </c>
      <c r="F367" t="s">
        <v>32</v>
      </c>
      <c r="G367" s="3">
        <v>0.14640078684071758</v>
      </c>
      <c r="H367" s="13">
        <v>577318</v>
      </c>
      <c r="I367" s="13">
        <f t="shared" si="10"/>
        <v>84519.809457309399</v>
      </c>
      <c r="J367" s="29">
        <v>16907.653405000001</v>
      </c>
      <c r="K367" s="58">
        <f t="shared" si="11"/>
        <v>4.9989083306093116</v>
      </c>
      <c r="L367" s="56"/>
      <c r="M367" s="49">
        <v>455.92172674403128</v>
      </c>
      <c r="N367" s="49">
        <f>M367*I367</f>
        <v>38534417.471853003</v>
      </c>
    </row>
    <row r="368" spans="2:14">
      <c r="B368" s="2">
        <v>2024</v>
      </c>
      <c r="C368" s="2" t="s">
        <v>24</v>
      </c>
      <c r="D368" s="12" t="s">
        <v>15</v>
      </c>
      <c r="E368" s="12" t="s">
        <v>15</v>
      </c>
      <c r="F368" t="s">
        <v>33</v>
      </c>
      <c r="G368" s="3">
        <v>0.10736057701652624</v>
      </c>
      <c r="H368" s="13">
        <v>577318</v>
      </c>
      <c r="I368" s="13">
        <f t="shared" si="10"/>
        <v>61981.193602026891</v>
      </c>
      <c r="J368" s="29">
        <v>14948.157614047621</v>
      </c>
      <c r="K368" s="58">
        <f t="shared" si="11"/>
        <v>4.1464102267546128</v>
      </c>
      <c r="L368" s="56"/>
      <c r="M368" s="49">
        <v>455.92172674403128</v>
      </c>
      <c r="N368" s="49">
        <f>M368*I368</f>
        <v>28258572.812692203</v>
      </c>
    </row>
    <row r="369" spans="2:14">
      <c r="B369" s="2">
        <v>2024</v>
      </c>
      <c r="C369" s="2" t="s">
        <v>24</v>
      </c>
      <c r="D369" s="12" t="s">
        <v>15</v>
      </c>
      <c r="E369" s="12" t="s">
        <v>15</v>
      </c>
      <c r="F369" t="s">
        <v>34</v>
      </c>
      <c r="G369" s="3">
        <v>0.37088199332981786</v>
      </c>
      <c r="H369" s="13">
        <v>577318</v>
      </c>
      <c r="I369" s="13">
        <f t="shared" si="10"/>
        <v>214116.85062518378</v>
      </c>
      <c r="J369" s="29">
        <v>20266.117105263162</v>
      </c>
      <c r="K369" s="58">
        <f t="shared" si="11"/>
        <v>10.565262675284606</v>
      </c>
      <c r="L369" s="56"/>
      <c r="M369" s="49">
        <v>455.92172674403128</v>
      </c>
      <c r="N369" s="49">
        <f>M369*I369</f>
        <v>97620524.262027606</v>
      </c>
    </row>
    <row r="370" spans="2:14">
      <c r="B370" s="2">
        <v>2024</v>
      </c>
      <c r="C370" s="2" t="s">
        <v>24</v>
      </c>
      <c r="D370" s="12" t="s">
        <v>15</v>
      </c>
      <c r="E370" s="12" t="s">
        <v>15</v>
      </c>
      <c r="F370" t="s">
        <v>35</v>
      </c>
      <c r="G370" s="3">
        <v>9.7600524560478394E-2</v>
      </c>
      <c r="H370" s="13">
        <v>577318</v>
      </c>
      <c r="I370" s="13">
        <f t="shared" si="10"/>
        <v>56346.539638206268</v>
      </c>
      <c r="J370" s="29">
        <v>19536.582833333359</v>
      </c>
      <c r="K370" s="58">
        <f t="shared" si="11"/>
        <v>2.8841553366266122</v>
      </c>
      <c r="L370" s="56"/>
      <c r="M370" s="49">
        <v>455.92172674403128</v>
      </c>
      <c r="N370" s="49">
        <f>M370*I370</f>
        <v>25689611.647902004</v>
      </c>
    </row>
    <row r="371" spans="2:14">
      <c r="B371" s="2">
        <v>2024</v>
      </c>
      <c r="C371" s="2" t="s">
        <v>24</v>
      </c>
      <c r="D371" s="12" t="s">
        <v>15</v>
      </c>
      <c r="E371" s="12" t="s">
        <v>15</v>
      </c>
      <c r="F371" t="s">
        <v>36</v>
      </c>
      <c r="G371" s="3">
        <v>0.11712062947257405</v>
      </c>
      <c r="H371" s="13">
        <v>577318</v>
      </c>
      <c r="I371" s="13">
        <f t="shared" si="10"/>
        <v>67615.847565847507</v>
      </c>
      <c r="J371" s="29">
        <v>11822.301861904616</v>
      </c>
      <c r="K371" s="58">
        <f t="shared" si="11"/>
        <v>5.7193470743399164</v>
      </c>
      <c r="L371" s="56"/>
      <c r="M371" s="49">
        <v>455.92172674403128</v>
      </c>
      <c r="N371" s="49">
        <f>M371*I371</f>
        <v>30827533.977482401</v>
      </c>
    </row>
    <row r="372" spans="2:14">
      <c r="B372" s="2">
        <v>2024</v>
      </c>
      <c r="C372" s="2" t="s">
        <v>24</v>
      </c>
      <c r="D372" s="12" t="s">
        <v>15</v>
      </c>
      <c r="E372" s="12" t="s">
        <v>15</v>
      </c>
      <c r="F372" t="s">
        <v>37</v>
      </c>
      <c r="G372" s="3">
        <v>0.13664073438466978</v>
      </c>
      <c r="H372" s="13">
        <v>577318</v>
      </c>
      <c r="I372" s="13">
        <f t="shared" si="10"/>
        <v>78885.155493488783</v>
      </c>
      <c r="J372" s="29">
        <v>21402.961571428397</v>
      </c>
      <c r="K372" s="58">
        <f t="shared" si="11"/>
        <v>3.6857121492380513</v>
      </c>
      <c r="L372" s="56"/>
      <c r="M372" s="49">
        <v>455.92172674403128</v>
      </c>
      <c r="N372" s="49">
        <f>M372*I372</f>
        <v>35965456.307062812</v>
      </c>
    </row>
    <row r="373" spans="2:14">
      <c r="B373" s="2">
        <v>2024</v>
      </c>
      <c r="C373" s="2" t="s">
        <v>24</v>
      </c>
      <c r="D373" s="12" t="s">
        <v>15</v>
      </c>
      <c r="E373" s="12" t="s">
        <v>15</v>
      </c>
      <c r="F373" s="9" t="s">
        <v>38</v>
      </c>
      <c r="G373" s="10">
        <v>1</v>
      </c>
      <c r="H373" s="13">
        <v>577318</v>
      </c>
      <c r="I373" s="13">
        <f t="shared" si="10"/>
        <v>577318</v>
      </c>
      <c r="J373" s="29">
        <v>104883.77439097717</v>
      </c>
      <c r="K373" s="58">
        <f t="shared" si="11"/>
        <v>5.5043595003353056</v>
      </c>
      <c r="L373" s="56"/>
      <c r="M373" s="49">
        <v>455.92172674403128</v>
      </c>
      <c r="N373" s="49">
        <f>M373*I373</f>
        <v>263211819.44041064</v>
      </c>
    </row>
    <row r="374" spans="2:14">
      <c r="B374" s="2">
        <v>2024</v>
      </c>
      <c r="C374" s="2" t="s">
        <v>25</v>
      </c>
      <c r="D374" s="12" t="s">
        <v>15</v>
      </c>
      <c r="E374" s="12" t="s">
        <v>15</v>
      </c>
      <c r="F374" t="s">
        <v>32</v>
      </c>
      <c r="G374" s="3">
        <v>0.14640078684071758</v>
      </c>
      <c r="H374" s="13">
        <v>661428</v>
      </c>
      <c r="I374" s="13">
        <f t="shared" si="10"/>
        <v>96833.579638482144</v>
      </c>
      <c r="J374" s="29">
        <v>18190.067999999999</v>
      </c>
      <c r="K374" s="58">
        <f t="shared" si="11"/>
        <v>5.3234314263411298</v>
      </c>
      <c r="L374" s="56"/>
      <c r="M374" s="49">
        <v>453.09662786373968</v>
      </c>
      <c r="N374" s="49">
        <f>M374*I374</f>
        <v>43874968.398171142</v>
      </c>
    </row>
    <row r="375" spans="2:14">
      <c r="B375" s="2">
        <v>2024</v>
      </c>
      <c r="C375" s="2" t="s">
        <v>25</v>
      </c>
      <c r="D375" s="12" t="s">
        <v>15</v>
      </c>
      <c r="E375" s="12" t="s">
        <v>15</v>
      </c>
      <c r="F375" t="s">
        <v>33</v>
      </c>
      <c r="G375" s="3">
        <v>0.10736057701652624</v>
      </c>
      <c r="H375" s="13">
        <v>661428</v>
      </c>
      <c r="I375" s="13">
        <f t="shared" si="10"/>
        <v>71011.291734886923</v>
      </c>
      <c r="J375" s="29">
        <v>14630.096002857143</v>
      </c>
      <c r="K375" s="58">
        <f t="shared" si="11"/>
        <v>4.8537816649336394</v>
      </c>
      <c r="L375" s="56"/>
      <c r="M375" s="49">
        <v>453.09662786373968</v>
      </c>
      <c r="N375" s="49">
        <f>M375*I375</f>
        <v>32174976.825325515</v>
      </c>
    </row>
    <row r="376" spans="2:14">
      <c r="B376" s="2">
        <v>2024</v>
      </c>
      <c r="C376" s="2" t="s">
        <v>25</v>
      </c>
      <c r="D376" s="12" t="s">
        <v>15</v>
      </c>
      <c r="E376" s="12" t="s">
        <v>15</v>
      </c>
      <c r="F376" t="s">
        <v>34</v>
      </c>
      <c r="G376" s="3">
        <v>0.37088199332981786</v>
      </c>
      <c r="H376" s="13">
        <v>661428</v>
      </c>
      <c r="I376" s="13">
        <f t="shared" si="10"/>
        <v>245311.73508415476</v>
      </c>
      <c r="J376" s="29">
        <v>20483.419078947372</v>
      </c>
      <c r="K376" s="58">
        <f t="shared" si="11"/>
        <v>11.976112686005795</v>
      </c>
      <c r="L376" s="56"/>
      <c r="M376" s="49">
        <v>453.09662786373968</v>
      </c>
      <c r="N376" s="49">
        <f>M376*I376</f>
        <v>111149919.94203356</v>
      </c>
    </row>
    <row r="377" spans="2:14">
      <c r="B377" s="2">
        <v>2024</v>
      </c>
      <c r="C377" s="2" t="s">
        <v>25</v>
      </c>
      <c r="D377" s="12" t="s">
        <v>15</v>
      </c>
      <c r="E377" s="12" t="s">
        <v>15</v>
      </c>
      <c r="F377" t="s">
        <v>35</v>
      </c>
      <c r="G377" s="3">
        <v>9.7600524560478394E-2</v>
      </c>
      <c r="H377" s="13">
        <v>661428</v>
      </c>
      <c r="I377" s="13">
        <f t="shared" si="10"/>
        <v>64555.719758988103</v>
      </c>
      <c r="J377" s="29">
        <v>19799.526552380954</v>
      </c>
      <c r="K377" s="58">
        <f t="shared" si="11"/>
        <v>3.2604678494812331</v>
      </c>
      <c r="L377" s="56"/>
      <c r="M377" s="49">
        <v>453.09662786373968</v>
      </c>
      <c r="N377" s="49">
        <f>M377*I377</f>
        <v>29249978.932114098</v>
      </c>
    </row>
    <row r="378" spans="2:14">
      <c r="B378" s="2">
        <v>2024</v>
      </c>
      <c r="C378" s="2" t="s">
        <v>25</v>
      </c>
      <c r="D378" s="12" t="s">
        <v>15</v>
      </c>
      <c r="E378" s="12" t="s">
        <v>15</v>
      </c>
      <c r="F378" t="s">
        <v>36</v>
      </c>
      <c r="G378" s="3">
        <v>0.11712062947257405</v>
      </c>
      <c r="H378" s="13">
        <v>661428</v>
      </c>
      <c r="I378" s="13">
        <f t="shared" si="10"/>
        <v>77466.863710785707</v>
      </c>
      <c r="J378" s="29">
        <v>23251.055047618807</v>
      </c>
      <c r="K378" s="58">
        <f t="shared" si="11"/>
        <v>3.3317569268203706</v>
      </c>
      <c r="L378" s="56"/>
      <c r="M378" s="49">
        <v>453.09662786373968</v>
      </c>
      <c r="N378" s="49">
        <f>M378*I378</f>
        <v>35099974.718536913</v>
      </c>
    </row>
    <row r="379" spans="2:14">
      <c r="B379" s="2">
        <v>2024</v>
      </c>
      <c r="C379" s="2" t="s">
        <v>25</v>
      </c>
      <c r="D379" s="12" t="s">
        <v>15</v>
      </c>
      <c r="E379" s="12" t="s">
        <v>15</v>
      </c>
      <c r="F379" t="s">
        <v>37</v>
      </c>
      <c r="G379" s="3">
        <v>0.13664073438466978</v>
      </c>
      <c r="H379" s="13">
        <v>661428</v>
      </c>
      <c r="I379" s="13">
        <f t="shared" si="10"/>
        <v>90378.007662583361</v>
      </c>
      <c r="J379" s="29">
        <v>10666.780109523745</v>
      </c>
      <c r="K379" s="58">
        <f t="shared" si="11"/>
        <v>8.4728481073581072</v>
      </c>
      <c r="L379" s="56"/>
      <c r="M379" s="49">
        <v>453.09662786373968</v>
      </c>
      <c r="N379" s="49">
        <f>M379*I379</f>
        <v>40949970.504959747</v>
      </c>
    </row>
    <row r="380" spans="2:14">
      <c r="B380" s="2">
        <v>2024</v>
      </c>
      <c r="C380" s="2" t="s">
        <v>25</v>
      </c>
      <c r="D380" s="12" t="s">
        <v>15</v>
      </c>
      <c r="E380" s="12" t="s">
        <v>15</v>
      </c>
      <c r="F380" s="9" t="s">
        <v>38</v>
      </c>
      <c r="G380" s="10">
        <v>1</v>
      </c>
      <c r="H380" s="13">
        <v>661428</v>
      </c>
      <c r="I380" s="13">
        <f t="shared" si="10"/>
        <v>661428</v>
      </c>
      <c r="J380" s="29">
        <v>107020.94479132802</v>
      </c>
      <c r="K380" s="58">
        <f t="shared" si="11"/>
        <v>6.1803603144194632</v>
      </c>
      <c r="L380" s="56"/>
      <c r="M380" s="49">
        <v>453.09662786373968</v>
      </c>
      <c r="N380" s="49">
        <f>M380*I380</f>
        <v>299690796.37465763</v>
      </c>
    </row>
    <row r="381" spans="2:14">
      <c r="B381" s="2">
        <v>2024</v>
      </c>
      <c r="C381" s="2" t="s">
        <v>26</v>
      </c>
      <c r="D381" s="12" t="s">
        <v>15</v>
      </c>
      <c r="E381" s="12" t="s">
        <v>15</v>
      </c>
      <c r="F381" t="s">
        <v>32</v>
      </c>
      <c r="G381" s="3">
        <v>0.14640078684071758</v>
      </c>
      <c r="H381" s="13">
        <v>545507</v>
      </c>
      <c r="I381" s="13">
        <f t="shared" si="10"/>
        <v>79862.654027119323</v>
      </c>
      <c r="J381" s="29">
        <v>16238.3215</v>
      </c>
      <c r="K381" s="58">
        <f t="shared" si="11"/>
        <v>4.9181594308943399</v>
      </c>
      <c r="L381" s="56"/>
      <c r="M381" s="49">
        <v>481.92101950450046</v>
      </c>
      <c r="N381" s="49">
        <f>M381*I381</f>
        <v>38487491.649084546</v>
      </c>
    </row>
    <row r="382" spans="2:14">
      <c r="B382" s="2">
        <v>2024</v>
      </c>
      <c r="C382" s="2" t="s">
        <v>26</v>
      </c>
      <c r="D382" s="12" t="s">
        <v>15</v>
      </c>
      <c r="E382" s="12" t="s">
        <v>15</v>
      </c>
      <c r="F382" t="s">
        <v>33</v>
      </c>
      <c r="G382" s="3">
        <v>0.10736057701652624</v>
      </c>
      <c r="H382" s="13">
        <v>545507</v>
      </c>
      <c r="I382" s="13">
        <f t="shared" si="10"/>
        <v>58565.946286554179</v>
      </c>
      <c r="J382" s="29">
        <v>13455.355047285715</v>
      </c>
      <c r="K382" s="58">
        <f t="shared" si="11"/>
        <v>4.3526124788783189</v>
      </c>
      <c r="L382" s="56"/>
      <c r="M382" s="49">
        <v>481.92101950450046</v>
      </c>
      <c r="N382" s="49">
        <f>M382*I382</f>
        <v>28224160.542662002</v>
      </c>
    </row>
    <row r="383" spans="2:14">
      <c r="B383" s="2">
        <v>2024</v>
      </c>
      <c r="C383" s="2" t="s">
        <v>26</v>
      </c>
      <c r="D383" s="12" t="s">
        <v>15</v>
      </c>
      <c r="E383" s="12" t="s">
        <v>15</v>
      </c>
      <c r="F383" t="s">
        <v>34</v>
      </c>
      <c r="G383" s="3">
        <v>0.37088199332981786</v>
      </c>
      <c r="H383" s="13">
        <v>545507</v>
      </c>
      <c r="I383" s="13">
        <f t="shared" si="10"/>
        <v>202318.72353536895</v>
      </c>
      <c r="J383" s="29">
        <v>17470.182894736845</v>
      </c>
      <c r="K383" s="58">
        <f t="shared" si="11"/>
        <v>11.580801686759703</v>
      </c>
      <c r="L383" s="56"/>
      <c r="M383" s="49">
        <v>481.92101950450046</v>
      </c>
      <c r="N383" s="49">
        <f>M383*I383</f>
        <v>97501645.511014178</v>
      </c>
    </row>
    <row r="384" spans="2:14">
      <c r="B384" s="2">
        <v>2024</v>
      </c>
      <c r="C384" s="2" t="s">
        <v>26</v>
      </c>
      <c r="D384" s="12" t="s">
        <v>15</v>
      </c>
      <c r="E384" s="12" t="s">
        <v>15</v>
      </c>
      <c r="F384" t="s">
        <v>35</v>
      </c>
      <c r="G384" s="3">
        <v>9.7600524560478394E-2</v>
      </c>
      <c r="H384" s="13">
        <v>545507</v>
      </c>
      <c r="I384" s="13">
        <f t="shared" si="10"/>
        <v>53241.769351412884</v>
      </c>
      <c r="J384" s="29">
        <v>16959.46569142865</v>
      </c>
      <c r="K384" s="58">
        <f t="shared" si="11"/>
        <v>3.1393541707107784</v>
      </c>
      <c r="L384" s="56"/>
      <c r="M384" s="49">
        <v>481.92101950450046</v>
      </c>
      <c r="N384" s="49">
        <f>M384*I384</f>
        <v>25658327.766056363</v>
      </c>
    </row>
    <row r="385" spans="2:14">
      <c r="B385" s="2">
        <v>2024</v>
      </c>
      <c r="C385" s="2" t="s">
        <v>26</v>
      </c>
      <c r="D385" s="12" t="s">
        <v>15</v>
      </c>
      <c r="E385" s="12" t="s">
        <v>15</v>
      </c>
      <c r="F385" t="s">
        <v>36</v>
      </c>
      <c r="G385" s="3">
        <v>0.11712062947257405</v>
      </c>
      <c r="H385" s="13">
        <v>545507</v>
      </c>
      <c r="I385" s="13">
        <f t="shared" si="10"/>
        <v>63890.123221695452</v>
      </c>
      <c r="J385" s="29">
        <v>18191.580928571504</v>
      </c>
      <c r="K385" s="58">
        <f t="shared" si="11"/>
        <v>3.512070966924612</v>
      </c>
      <c r="L385" s="56"/>
      <c r="M385" s="49">
        <v>481.92101950450046</v>
      </c>
      <c r="N385" s="49">
        <f>M385*I385</f>
        <v>30789993.319267631</v>
      </c>
    </row>
    <row r="386" spans="2:14">
      <c r="B386" s="2">
        <v>2024</v>
      </c>
      <c r="C386" s="2" t="s">
        <v>26</v>
      </c>
      <c r="D386" s="12" t="s">
        <v>15</v>
      </c>
      <c r="E386" s="12" t="s">
        <v>15</v>
      </c>
      <c r="F386" t="s">
        <v>37</v>
      </c>
      <c r="G386" s="3">
        <v>0.13664073438466978</v>
      </c>
      <c r="H386" s="13">
        <v>545507</v>
      </c>
      <c r="I386" s="13">
        <f t="shared" si="10"/>
        <v>74538.477091978057</v>
      </c>
      <c r="J386" s="29">
        <v>10684.618379523772</v>
      </c>
      <c r="K386" s="58">
        <f t="shared" si="11"/>
        <v>6.9762414008931914</v>
      </c>
      <c r="L386" s="56"/>
      <c r="M386" s="49">
        <v>481.92101950450046</v>
      </c>
      <c r="N386" s="49">
        <f>M386*I386</f>
        <v>35921658.872478917</v>
      </c>
    </row>
    <row r="387" spans="2:14">
      <c r="B387" s="2">
        <v>2024</v>
      </c>
      <c r="C387" s="2" t="s">
        <v>26</v>
      </c>
      <c r="D387" s="12" t="s">
        <v>15</v>
      </c>
      <c r="E387" s="12" t="s">
        <v>15</v>
      </c>
      <c r="F387" s="9" t="s">
        <v>38</v>
      </c>
      <c r="G387" s="10">
        <v>1</v>
      </c>
      <c r="H387" s="13">
        <v>545507</v>
      </c>
      <c r="I387" s="13">
        <f t="shared" ref="I387:I450" si="12">G387*H387</f>
        <v>545507</v>
      </c>
      <c r="J387" s="29">
        <v>92999.524441546484</v>
      </c>
      <c r="K387" s="58">
        <f t="shared" si="11"/>
        <v>5.8656966610928274</v>
      </c>
      <c r="L387" s="56"/>
      <c r="M387" s="49">
        <v>481.92101950450046</v>
      </c>
      <c r="N387" s="49">
        <f>M387*I387</f>
        <v>262891289.58684152</v>
      </c>
    </row>
    <row r="388" spans="2:14">
      <c r="B388" s="2">
        <v>2024</v>
      </c>
      <c r="C388" s="2" t="s">
        <v>27</v>
      </c>
      <c r="D388" s="12" t="s">
        <v>15</v>
      </c>
      <c r="E388" s="12" t="s">
        <v>15</v>
      </c>
      <c r="F388" t="s">
        <v>32</v>
      </c>
      <c r="G388" s="3">
        <v>0.14640078684071758</v>
      </c>
      <c r="H388" s="13">
        <v>641979</v>
      </c>
      <c r="I388" s="13">
        <f t="shared" si="12"/>
        <v>93986.230735217032</v>
      </c>
      <c r="J388" s="29">
        <v>17577.9925</v>
      </c>
      <c r="K388" s="58">
        <f t="shared" ref="K388:K451" si="13">IFERROR(I388/J388,0)</f>
        <v>5.3468125404659848</v>
      </c>
      <c r="L388" s="56"/>
      <c r="M388" s="49">
        <v>462.44617758432958</v>
      </c>
      <c r="N388" s="49">
        <f>M388*I388</f>
        <v>43463573.149059951</v>
      </c>
    </row>
    <row r="389" spans="2:14">
      <c r="B389" s="2">
        <v>2024</v>
      </c>
      <c r="C389" s="2" t="s">
        <v>27</v>
      </c>
      <c r="D389" s="12" t="s">
        <v>15</v>
      </c>
      <c r="E389" s="12" t="s">
        <v>15</v>
      </c>
      <c r="F389" t="s">
        <v>33</v>
      </c>
      <c r="G389" s="3">
        <v>0.10736057701652624</v>
      </c>
      <c r="H389" s="13">
        <v>641979</v>
      </c>
      <c r="I389" s="13">
        <f t="shared" si="12"/>
        <v>68923.2358724925</v>
      </c>
      <c r="J389" s="29">
        <v>15262.677470285715</v>
      </c>
      <c r="K389" s="58">
        <f t="shared" si="13"/>
        <v>4.5158024210808581</v>
      </c>
      <c r="L389" s="56"/>
      <c r="M389" s="49">
        <v>462.44617758432958</v>
      </c>
      <c r="N389" s="49">
        <f>M389*I389</f>
        <v>31873286.975977302</v>
      </c>
    </row>
    <row r="390" spans="2:14">
      <c r="B390" s="2">
        <v>2024</v>
      </c>
      <c r="C390" s="2" t="s">
        <v>27</v>
      </c>
      <c r="D390" s="12" t="s">
        <v>15</v>
      </c>
      <c r="E390" s="12" t="s">
        <v>15</v>
      </c>
      <c r="F390" t="s">
        <v>34</v>
      </c>
      <c r="G390" s="3">
        <v>0.37088199332981786</v>
      </c>
      <c r="H390" s="13">
        <v>641979</v>
      </c>
      <c r="I390" s="13">
        <f t="shared" si="12"/>
        <v>238098.45119588313</v>
      </c>
      <c r="J390" s="29">
        <v>22029.629605263162</v>
      </c>
      <c r="K390" s="58">
        <f t="shared" si="13"/>
        <v>10.8081005201739</v>
      </c>
      <c r="L390" s="56"/>
      <c r="M390" s="49">
        <v>462.44617758432958</v>
      </c>
      <c r="N390" s="49">
        <f>M390*I390</f>
        <v>110107718.6442852</v>
      </c>
    </row>
    <row r="391" spans="2:14">
      <c r="B391" s="2">
        <v>2024</v>
      </c>
      <c r="C391" s="2" t="s">
        <v>27</v>
      </c>
      <c r="D391" s="12" t="s">
        <v>15</v>
      </c>
      <c r="E391" s="12" t="s">
        <v>15</v>
      </c>
      <c r="F391" t="s">
        <v>35</v>
      </c>
      <c r="G391" s="3">
        <v>9.7600524560478394E-2</v>
      </c>
      <c r="H391" s="13">
        <v>641979</v>
      </c>
      <c r="I391" s="13">
        <f t="shared" si="12"/>
        <v>62657.487156811359</v>
      </c>
      <c r="J391" s="29">
        <v>18153.542837143035</v>
      </c>
      <c r="K391" s="58">
        <f t="shared" si="13"/>
        <v>3.4515294187430499</v>
      </c>
      <c r="L391" s="56"/>
      <c r="M391" s="49">
        <v>462.44617758432958</v>
      </c>
      <c r="N391" s="49">
        <f>M391*I391</f>
        <v>28975715.432706635</v>
      </c>
    </row>
    <row r="392" spans="2:14">
      <c r="B392" s="2">
        <v>2024</v>
      </c>
      <c r="C392" s="2" t="s">
        <v>27</v>
      </c>
      <c r="D392" s="12" t="s">
        <v>15</v>
      </c>
      <c r="E392" s="12" t="s">
        <v>15</v>
      </c>
      <c r="F392" t="s">
        <v>36</v>
      </c>
      <c r="G392" s="3">
        <v>0.11712062947257405</v>
      </c>
      <c r="H392" s="13">
        <v>641979</v>
      </c>
      <c r="I392" s="13">
        <f t="shared" si="12"/>
        <v>75188.984588173611</v>
      </c>
      <c r="J392" s="29">
        <v>12652.702164285629</v>
      </c>
      <c r="K392" s="58">
        <f t="shared" si="13"/>
        <v>5.9425238665940556</v>
      </c>
      <c r="L392" s="56"/>
      <c r="M392" s="49">
        <v>462.44617758432958</v>
      </c>
      <c r="N392" s="49">
        <f>M392*I392</f>
        <v>34770858.519247957</v>
      </c>
    </row>
    <row r="393" spans="2:14">
      <c r="B393" s="2">
        <v>2024</v>
      </c>
      <c r="C393" s="2" t="s">
        <v>27</v>
      </c>
      <c r="D393" s="12" t="s">
        <v>15</v>
      </c>
      <c r="E393" s="12" t="s">
        <v>15</v>
      </c>
      <c r="F393" t="s">
        <v>37</v>
      </c>
      <c r="G393" s="3">
        <v>0.13664073438466978</v>
      </c>
      <c r="H393" s="13">
        <v>641979</v>
      </c>
      <c r="I393" s="13">
        <f t="shared" si="12"/>
        <v>87720.482019535921</v>
      </c>
      <c r="J393" s="29">
        <v>24654.727023809512</v>
      </c>
      <c r="K393" s="58">
        <f t="shared" si="13"/>
        <v>3.5579579500037735</v>
      </c>
      <c r="L393" s="56"/>
      <c r="M393" s="49">
        <v>462.44617758432958</v>
      </c>
      <c r="N393" s="49">
        <f>M393*I393</f>
        <v>40566001.605789296</v>
      </c>
    </row>
    <row r="394" spans="2:14">
      <c r="B394" s="2">
        <v>2024</v>
      </c>
      <c r="C394" s="2" t="s">
        <v>27</v>
      </c>
      <c r="D394" s="12" t="s">
        <v>15</v>
      </c>
      <c r="E394" s="12" t="s">
        <v>15</v>
      </c>
      <c r="F394" s="9" t="s">
        <v>38</v>
      </c>
      <c r="G394" s="10">
        <v>1</v>
      </c>
      <c r="H394" s="13">
        <v>641979</v>
      </c>
      <c r="I394" s="13">
        <f t="shared" si="12"/>
        <v>641979</v>
      </c>
      <c r="J394" s="29">
        <v>110331.27160078705</v>
      </c>
      <c r="K394" s="58">
        <f t="shared" si="13"/>
        <v>5.818649515097408</v>
      </c>
      <c r="L394" s="56"/>
      <c r="M394" s="49">
        <v>462.44617758432958</v>
      </c>
      <c r="N394" s="49">
        <f>M394*I394</f>
        <v>296880734.63941032</v>
      </c>
    </row>
    <row r="395" spans="2:14">
      <c r="B395" s="2">
        <v>2024</v>
      </c>
      <c r="C395" s="2" t="s">
        <v>28</v>
      </c>
      <c r="D395" s="12" t="s">
        <v>15</v>
      </c>
      <c r="E395" s="12" t="s">
        <v>15</v>
      </c>
      <c r="F395" t="s">
        <v>32</v>
      </c>
      <c r="G395" s="3">
        <v>0.14640078684071758</v>
      </c>
      <c r="H395" s="13">
        <v>631241</v>
      </c>
      <c r="I395" s="13">
        <f t="shared" si="12"/>
        <v>92414.17908612141</v>
      </c>
      <c r="J395" s="29">
        <v>15877.863000000001</v>
      </c>
      <c r="K395" s="58">
        <f t="shared" si="13"/>
        <v>5.8203159383678651</v>
      </c>
      <c r="L395" s="56"/>
      <c r="M395" s="49">
        <v>474.06906966266843</v>
      </c>
      <c r="N395" s="49">
        <f>M395*I395</f>
        <v>43810703.902996808</v>
      </c>
    </row>
    <row r="396" spans="2:14">
      <c r="B396" s="2">
        <v>2024</v>
      </c>
      <c r="C396" s="2" t="s">
        <v>28</v>
      </c>
      <c r="D396" s="12" t="s">
        <v>15</v>
      </c>
      <c r="E396" s="12" t="s">
        <v>15</v>
      </c>
      <c r="F396" t="s">
        <v>33</v>
      </c>
      <c r="G396" s="3">
        <v>0.10736057701652624</v>
      </c>
      <c r="H396" s="13">
        <v>631241</v>
      </c>
      <c r="I396" s="13">
        <f t="shared" si="12"/>
        <v>67770.397996489046</v>
      </c>
      <c r="J396" s="29">
        <v>15113.060383285716</v>
      </c>
      <c r="K396" s="58">
        <f t="shared" si="13"/>
        <v>4.4842273025944959</v>
      </c>
      <c r="L396" s="56"/>
      <c r="M396" s="49">
        <v>474.06906966266843</v>
      </c>
      <c r="N396" s="49">
        <f>M396*I396</f>
        <v>32127849.528864332</v>
      </c>
    </row>
    <row r="397" spans="2:14">
      <c r="B397" s="2">
        <v>2024</v>
      </c>
      <c r="C397" s="2" t="s">
        <v>28</v>
      </c>
      <c r="D397" s="12" t="s">
        <v>15</v>
      </c>
      <c r="E397" s="12" t="s">
        <v>15</v>
      </c>
      <c r="F397" t="s">
        <v>34</v>
      </c>
      <c r="G397" s="3">
        <v>0.37088199332981786</v>
      </c>
      <c r="H397" s="13">
        <v>631241</v>
      </c>
      <c r="I397" s="13">
        <f t="shared" si="12"/>
        <v>234115.92035150755</v>
      </c>
      <c r="J397" s="29">
        <v>19511.207565789475</v>
      </c>
      <c r="K397" s="58">
        <f t="shared" si="13"/>
        <v>11.999048216882347</v>
      </c>
      <c r="L397" s="56"/>
      <c r="M397" s="49">
        <v>474.06906966266843</v>
      </c>
      <c r="N397" s="49">
        <f>M397*I397</f>
        <v>110987116.55425857</v>
      </c>
    </row>
    <row r="398" spans="2:14">
      <c r="B398" s="2">
        <v>2024</v>
      </c>
      <c r="C398" s="2" t="s">
        <v>28</v>
      </c>
      <c r="D398" s="12" t="s">
        <v>15</v>
      </c>
      <c r="E398" s="12" t="s">
        <v>15</v>
      </c>
      <c r="F398" t="s">
        <v>35</v>
      </c>
      <c r="G398" s="3">
        <v>9.7600524560478394E-2</v>
      </c>
      <c r="H398" s="13">
        <v>631241</v>
      </c>
      <c r="I398" s="13">
        <f t="shared" si="12"/>
        <v>61609.45272408094</v>
      </c>
      <c r="J398" s="29">
        <v>19522.775881904668</v>
      </c>
      <c r="K398" s="58">
        <f t="shared" si="13"/>
        <v>3.1557731900813195</v>
      </c>
      <c r="L398" s="56"/>
      <c r="M398" s="49">
        <v>474.06906966266843</v>
      </c>
      <c r="N398" s="49">
        <f>M398*I398</f>
        <v>29207135.935331203</v>
      </c>
    </row>
    <row r="399" spans="2:14">
      <c r="B399" s="2">
        <v>2024</v>
      </c>
      <c r="C399" s="2" t="s">
        <v>28</v>
      </c>
      <c r="D399" s="12" t="s">
        <v>15</v>
      </c>
      <c r="E399" s="12" t="s">
        <v>15</v>
      </c>
      <c r="F399" t="s">
        <v>36</v>
      </c>
      <c r="G399" s="3">
        <v>0.11712062947257405</v>
      </c>
      <c r="H399" s="13">
        <v>631241</v>
      </c>
      <c r="I399" s="13">
        <f t="shared" si="12"/>
        <v>73931.343268897122</v>
      </c>
      <c r="J399" s="29">
        <v>8847.0143161904598</v>
      </c>
      <c r="K399" s="58">
        <f t="shared" si="13"/>
        <v>8.3566433405221492</v>
      </c>
      <c r="L399" s="56"/>
      <c r="M399" s="49">
        <v>474.06906966266843</v>
      </c>
      <c r="N399" s="49">
        <f>M399*I399</f>
        <v>35048563.122397445</v>
      </c>
    </row>
    <row r="400" spans="2:14">
      <c r="B400" s="2">
        <v>2024</v>
      </c>
      <c r="C400" s="2" t="s">
        <v>28</v>
      </c>
      <c r="D400" s="12" t="s">
        <v>15</v>
      </c>
      <c r="E400" s="12" t="s">
        <v>15</v>
      </c>
      <c r="F400" t="s">
        <v>37</v>
      </c>
      <c r="G400" s="3">
        <v>0.13664073438466978</v>
      </c>
      <c r="H400" s="13">
        <v>631241</v>
      </c>
      <c r="I400" s="13">
        <f t="shared" si="12"/>
        <v>86253.233813713334</v>
      </c>
      <c r="J400" s="29">
        <v>22715.917119047372</v>
      </c>
      <c r="K400" s="58">
        <f t="shared" si="13"/>
        <v>3.7970394662775782</v>
      </c>
      <c r="L400" s="56"/>
      <c r="M400" s="49">
        <v>474.06906966266843</v>
      </c>
      <c r="N400" s="49">
        <f>M400*I400</f>
        <v>40889990.309463695</v>
      </c>
    </row>
    <row r="401" spans="2:14">
      <c r="B401" s="2">
        <v>2024</v>
      </c>
      <c r="C401" s="2" t="s">
        <v>28</v>
      </c>
      <c r="D401" s="12" t="s">
        <v>15</v>
      </c>
      <c r="E401" s="12" t="s">
        <v>15</v>
      </c>
      <c r="F401" s="9" t="s">
        <v>38</v>
      </c>
      <c r="G401" s="10">
        <v>1</v>
      </c>
      <c r="H401" s="13">
        <v>631241</v>
      </c>
      <c r="I401" s="13">
        <f t="shared" si="12"/>
        <v>631241</v>
      </c>
      <c r="J401" s="29">
        <v>101587.83826621769</v>
      </c>
      <c r="K401" s="58">
        <f t="shared" si="13"/>
        <v>6.2137457669469347</v>
      </c>
      <c r="L401" s="56"/>
      <c r="M401" s="49">
        <v>474.06906966266843</v>
      </c>
      <c r="N401" s="49">
        <f>M401*I401</f>
        <v>299251833.60293245</v>
      </c>
    </row>
    <row r="402" spans="2:14">
      <c r="B402" s="2">
        <v>2024</v>
      </c>
      <c r="C402" s="2" t="s">
        <v>29</v>
      </c>
      <c r="D402" s="12" t="s">
        <v>15</v>
      </c>
      <c r="E402" s="12" t="s">
        <v>15</v>
      </c>
      <c r="F402" t="s">
        <v>32</v>
      </c>
      <c r="G402" s="3">
        <v>0.14640078684071758</v>
      </c>
      <c r="H402" s="13">
        <v>684713</v>
      </c>
      <c r="I402" s="13">
        <f t="shared" si="12"/>
        <v>100242.52196006826</v>
      </c>
      <c r="J402" s="29">
        <v>18321.096560000002</v>
      </c>
      <c r="K402" s="58">
        <f t="shared" si="13"/>
        <v>5.4714258850054467</v>
      </c>
      <c r="L402" s="56"/>
      <c r="M402" s="49">
        <v>475.41747901503527</v>
      </c>
      <c r="N402" s="49">
        <f>M402*I402</f>
        <v>47657047.080364965</v>
      </c>
    </row>
    <row r="403" spans="2:14">
      <c r="B403" s="2">
        <v>2024</v>
      </c>
      <c r="C403" s="2" t="s">
        <v>29</v>
      </c>
      <c r="D403" s="12" t="s">
        <v>15</v>
      </c>
      <c r="E403" s="12" t="s">
        <v>15</v>
      </c>
      <c r="F403" t="s">
        <v>33</v>
      </c>
      <c r="G403" s="3">
        <v>0.10736057701652624</v>
      </c>
      <c r="H403" s="13">
        <v>684713</v>
      </c>
      <c r="I403" s="13">
        <f t="shared" si="12"/>
        <v>73511.182770716725</v>
      </c>
      <c r="J403" s="29">
        <v>14125.725090761907</v>
      </c>
      <c r="K403" s="58">
        <f t="shared" si="13"/>
        <v>5.2040643788822107</v>
      </c>
      <c r="L403" s="56"/>
      <c r="M403" s="49">
        <v>475.41747901503527</v>
      </c>
      <c r="N403" s="49">
        <f>M403*I403</f>
        <v>34948501.192267641</v>
      </c>
    </row>
    <row r="404" spans="2:14">
      <c r="B404" s="2">
        <v>2024</v>
      </c>
      <c r="C404" s="2" t="s">
        <v>29</v>
      </c>
      <c r="D404" s="12" t="s">
        <v>15</v>
      </c>
      <c r="E404" s="12" t="s">
        <v>15</v>
      </c>
      <c r="F404" t="s">
        <v>34</v>
      </c>
      <c r="G404" s="3">
        <v>0.37088199332981786</v>
      </c>
      <c r="H404" s="13">
        <v>684713</v>
      </c>
      <c r="I404" s="13">
        <f t="shared" si="12"/>
        <v>253947.72229883957</v>
      </c>
      <c r="J404" s="29">
        <v>22348.791118421057</v>
      </c>
      <c r="K404" s="58">
        <f t="shared" si="13"/>
        <v>11.362928802422893</v>
      </c>
      <c r="L404" s="56"/>
      <c r="M404" s="49">
        <v>475.41747901503527</v>
      </c>
      <c r="N404" s="49">
        <f>M404*I404</f>
        <v>120731185.93692456</v>
      </c>
    </row>
    <row r="405" spans="2:14">
      <c r="B405" s="2">
        <v>2024</v>
      </c>
      <c r="C405" s="2" t="s">
        <v>29</v>
      </c>
      <c r="D405" s="12" t="s">
        <v>15</v>
      </c>
      <c r="E405" s="12" t="s">
        <v>15</v>
      </c>
      <c r="F405" t="s">
        <v>35</v>
      </c>
      <c r="G405" s="3">
        <v>9.7600524560478394E-2</v>
      </c>
      <c r="H405" s="13">
        <v>684713</v>
      </c>
      <c r="I405" s="13">
        <f t="shared" si="12"/>
        <v>66828.347973378841</v>
      </c>
      <c r="J405" s="29">
        <v>22174.698201905117</v>
      </c>
      <c r="K405" s="58">
        <f t="shared" si="13"/>
        <v>3.0137207444671037</v>
      </c>
      <c r="L405" s="56"/>
      <c r="M405" s="49">
        <v>475.41747901503527</v>
      </c>
      <c r="N405" s="49">
        <f>M405*I405</f>
        <v>31771364.720243309</v>
      </c>
    </row>
    <row r="406" spans="2:14">
      <c r="B406" s="2">
        <v>2024</v>
      </c>
      <c r="C406" s="2" t="s">
        <v>29</v>
      </c>
      <c r="D406" s="12" t="s">
        <v>15</v>
      </c>
      <c r="E406" s="12" t="s">
        <v>15</v>
      </c>
      <c r="F406" t="s">
        <v>36</v>
      </c>
      <c r="G406" s="3">
        <v>0.11712062947257405</v>
      </c>
      <c r="H406" s="13">
        <v>684713</v>
      </c>
      <c r="I406" s="13">
        <f t="shared" si="12"/>
        <v>80194.017568054594</v>
      </c>
      <c r="J406" s="29">
        <v>7944.6242023809746</v>
      </c>
      <c r="K406" s="58">
        <f t="shared" si="13"/>
        <v>10.094123463262207</v>
      </c>
      <c r="L406" s="56"/>
      <c r="M406" s="49">
        <v>475.41747901503527</v>
      </c>
      <c r="N406" s="49">
        <f>M406*I406</f>
        <v>38125637.664291963</v>
      </c>
    </row>
    <row r="407" spans="2:14">
      <c r="B407" s="2">
        <v>2024</v>
      </c>
      <c r="C407" s="2" t="s">
        <v>29</v>
      </c>
      <c r="D407" s="12" t="s">
        <v>15</v>
      </c>
      <c r="E407" s="12" t="s">
        <v>15</v>
      </c>
      <c r="F407" t="s">
        <v>37</v>
      </c>
      <c r="G407" s="3">
        <v>0.13664073438466978</v>
      </c>
      <c r="H407" s="13">
        <v>684713</v>
      </c>
      <c r="I407" s="13">
        <f t="shared" si="12"/>
        <v>93559.687162730406</v>
      </c>
      <c r="J407" s="29">
        <v>23336.22804761901</v>
      </c>
      <c r="K407" s="58">
        <f t="shared" si="13"/>
        <v>4.0092034998893613</v>
      </c>
      <c r="L407" s="56"/>
      <c r="M407" s="49">
        <v>475.41747901503527</v>
      </c>
      <c r="N407" s="49">
        <f>M407*I407</f>
        <v>44479910.608340651</v>
      </c>
    </row>
    <row r="408" spans="2:14">
      <c r="B408" s="2">
        <v>2024</v>
      </c>
      <c r="C408" s="2" t="s">
        <v>29</v>
      </c>
      <c r="D408" s="12" t="s">
        <v>15</v>
      </c>
      <c r="E408" s="12" t="s">
        <v>15</v>
      </c>
      <c r="F408" s="9" t="s">
        <v>38</v>
      </c>
      <c r="G408" s="10">
        <v>1</v>
      </c>
      <c r="H408" s="13">
        <v>684713</v>
      </c>
      <c r="I408" s="13">
        <f t="shared" si="12"/>
        <v>684713</v>
      </c>
      <c r="J408" s="29">
        <v>108251.16322108806</v>
      </c>
      <c r="K408" s="58">
        <f t="shared" si="13"/>
        <v>6.3252253336212947</v>
      </c>
      <c r="L408" s="56"/>
      <c r="M408" s="49">
        <v>475.41747901503527</v>
      </c>
      <c r="N408" s="49">
        <f>M408*I408</f>
        <v>325524528.30882186</v>
      </c>
    </row>
    <row r="409" spans="2:14">
      <c r="B409" s="2">
        <v>2024</v>
      </c>
      <c r="C409" s="2" t="s">
        <v>30</v>
      </c>
      <c r="D409" s="12" t="s">
        <v>15</v>
      </c>
      <c r="E409" s="12" t="s">
        <v>15</v>
      </c>
      <c r="F409" t="s">
        <v>32</v>
      </c>
      <c r="G409" s="3">
        <v>0.14640078684071758</v>
      </c>
      <c r="H409" s="13">
        <v>671460</v>
      </c>
      <c r="I409" s="13">
        <f t="shared" si="12"/>
        <v>98302.272332068227</v>
      </c>
      <c r="J409" s="29">
        <v>20227.371500000001</v>
      </c>
      <c r="K409" s="58">
        <f t="shared" si="13"/>
        <v>4.8598638894859976</v>
      </c>
      <c r="L409" s="56"/>
      <c r="M409" s="49">
        <v>450.63058053084831</v>
      </c>
      <c r="N409" s="49">
        <f>M409*I409</f>
        <v>44298010.048501454</v>
      </c>
    </row>
    <row r="410" spans="2:14">
      <c r="B410" s="2">
        <v>2024</v>
      </c>
      <c r="C410" s="2" t="s">
        <v>30</v>
      </c>
      <c r="D410" s="12" t="s">
        <v>15</v>
      </c>
      <c r="E410" s="12" t="s">
        <v>15</v>
      </c>
      <c r="F410" t="s">
        <v>33</v>
      </c>
      <c r="G410" s="3">
        <v>0.10736057701652624</v>
      </c>
      <c r="H410" s="13">
        <v>671460</v>
      </c>
      <c r="I410" s="13">
        <f t="shared" si="12"/>
        <v>72088.333043516701</v>
      </c>
      <c r="J410" s="29">
        <v>13650.337601857143</v>
      </c>
      <c r="K410" s="58">
        <f t="shared" si="13"/>
        <v>5.281065944750627</v>
      </c>
      <c r="L410" s="56"/>
      <c r="M410" s="49">
        <v>450.63058053084831</v>
      </c>
      <c r="N410" s="49">
        <f>M410*I410</f>
        <v>32485207.368901066</v>
      </c>
    </row>
    <row r="411" spans="2:14">
      <c r="B411" s="2">
        <v>2024</v>
      </c>
      <c r="C411" s="2" t="s">
        <v>30</v>
      </c>
      <c r="D411" s="12" t="s">
        <v>15</v>
      </c>
      <c r="E411" s="12" t="s">
        <v>15</v>
      </c>
      <c r="F411" t="s">
        <v>34</v>
      </c>
      <c r="G411" s="3">
        <v>0.37088199332981786</v>
      </c>
      <c r="H411" s="13">
        <v>671460</v>
      </c>
      <c r="I411" s="13">
        <f t="shared" si="12"/>
        <v>249032.42324123951</v>
      </c>
      <c r="J411" s="29">
        <v>21269.875986842108</v>
      </c>
      <c r="K411" s="58">
        <f t="shared" si="13"/>
        <v>11.708221683816824</v>
      </c>
      <c r="L411" s="56"/>
      <c r="M411" s="49">
        <v>450.63058053084831</v>
      </c>
      <c r="N411" s="49">
        <f>M411*I411</f>
        <v>112221625.45620368</v>
      </c>
    </row>
    <row r="412" spans="2:14">
      <c r="B412" s="2">
        <v>2024</v>
      </c>
      <c r="C412" s="2" t="s">
        <v>30</v>
      </c>
      <c r="D412" s="12" t="s">
        <v>15</v>
      </c>
      <c r="E412" s="12" t="s">
        <v>15</v>
      </c>
      <c r="F412" t="s">
        <v>35</v>
      </c>
      <c r="G412" s="3">
        <v>9.7600524560478394E-2</v>
      </c>
      <c r="H412" s="13">
        <v>671460</v>
      </c>
      <c r="I412" s="13">
        <f t="shared" si="12"/>
        <v>65534.848221378823</v>
      </c>
      <c r="J412" s="29">
        <v>22237.543305714607</v>
      </c>
      <c r="K412" s="58">
        <f t="shared" si="13"/>
        <v>2.9470363394205359</v>
      </c>
      <c r="L412" s="56"/>
      <c r="M412" s="49">
        <v>450.63058053084831</v>
      </c>
      <c r="N412" s="49">
        <f>M412*I412</f>
        <v>29532006.69900097</v>
      </c>
    </row>
    <row r="413" spans="2:14">
      <c r="B413" s="2">
        <v>2024</v>
      </c>
      <c r="C413" s="2" t="s">
        <v>30</v>
      </c>
      <c r="D413" s="12" t="s">
        <v>15</v>
      </c>
      <c r="E413" s="12" t="s">
        <v>15</v>
      </c>
      <c r="F413" t="s">
        <v>36</v>
      </c>
      <c r="G413" s="3">
        <v>0.11712062947257405</v>
      </c>
      <c r="H413" s="13">
        <v>671460</v>
      </c>
      <c r="I413" s="13">
        <f t="shared" si="12"/>
        <v>78641.817865654579</v>
      </c>
      <c r="J413" s="29">
        <v>9508.5796690475981</v>
      </c>
      <c r="K413" s="58">
        <f t="shared" si="13"/>
        <v>8.2706167064729996</v>
      </c>
      <c r="L413" s="56"/>
      <c r="M413" s="49">
        <v>450.63058053084831</v>
      </c>
      <c r="N413" s="49">
        <f>M413*I413</f>
        <v>35438408.038801163</v>
      </c>
    </row>
    <row r="414" spans="2:14">
      <c r="B414" s="2">
        <v>2024</v>
      </c>
      <c r="C414" s="2" t="s">
        <v>30</v>
      </c>
      <c r="D414" s="12" t="s">
        <v>15</v>
      </c>
      <c r="E414" s="12" t="s">
        <v>15</v>
      </c>
      <c r="F414" t="s">
        <v>37</v>
      </c>
      <c r="G414" s="3">
        <v>0.13664073438466978</v>
      </c>
      <c r="H414" s="13">
        <v>671460</v>
      </c>
      <c r="I414" s="13">
        <f t="shared" si="12"/>
        <v>91748.787509930378</v>
      </c>
      <c r="J414" s="29">
        <v>23390.471428571673</v>
      </c>
      <c r="K414" s="58">
        <f t="shared" si="13"/>
        <v>3.9224856065901434</v>
      </c>
      <c r="L414" s="56"/>
      <c r="M414" s="49">
        <v>450.63058053084831</v>
      </c>
      <c r="N414" s="49">
        <f>M414*I414</f>
        <v>41344809.378601372</v>
      </c>
    </row>
    <row r="415" spans="2:14">
      <c r="B415" s="2">
        <v>2024</v>
      </c>
      <c r="C415" s="2" t="s">
        <v>30</v>
      </c>
      <c r="D415" s="12" t="s">
        <v>15</v>
      </c>
      <c r="E415" s="12" t="s">
        <v>15</v>
      </c>
      <c r="F415" s="9" t="s">
        <v>38</v>
      </c>
      <c r="G415" s="10">
        <v>1</v>
      </c>
      <c r="H415" s="13">
        <v>671460</v>
      </c>
      <c r="I415" s="13">
        <f t="shared" si="12"/>
        <v>671460</v>
      </c>
      <c r="J415" s="29">
        <v>110284.17949203313</v>
      </c>
      <c r="K415" s="58">
        <f t="shared" si="13"/>
        <v>6.0884526057384862</v>
      </c>
      <c r="L415" s="56"/>
      <c r="M415" s="49">
        <v>450.63058053084831</v>
      </c>
      <c r="N415" s="49">
        <f>M415*I415</f>
        <v>302580409.60324341</v>
      </c>
    </row>
    <row r="416" spans="2:14">
      <c r="B416" s="2">
        <v>2024</v>
      </c>
      <c r="C416" s="2" t="s">
        <v>31</v>
      </c>
      <c r="D416" s="12" t="s">
        <v>15</v>
      </c>
      <c r="E416" s="12" t="s">
        <v>15</v>
      </c>
      <c r="F416" t="s">
        <v>32</v>
      </c>
      <c r="G416" s="3">
        <v>0.14640078684071758</v>
      </c>
      <c r="H416" s="13">
        <v>673740</v>
      </c>
      <c r="I416" s="13">
        <f t="shared" si="12"/>
        <v>98636.066126065067</v>
      </c>
      <c r="J416" s="29">
        <v>20404.442000000003</v>
      </c>
      <c r="K416" s="58">
        <f t="shared" si="13"/>
        <v>4.8340486902834714</v>
      </c>
      <c r="L416" s="56"/>
      <c r="M416" s="49">
        <v>443.50583749579579</v>
      </c>
      <c r="N416" s="49">
        <f>M416*I416</f>
        <v>43745671.114531182</v>
      </c>
    </row>
    <row r="417" spans="2:14">
      <c r="B417" s="2">
        <v>2024</v>
      </c>
      <c r="C417" s="2" t="s">
        <v>31</v>
      </c>
      <c r="D417" s="12" t="s">
        <v>15</v>
      </c>
      <c r="E417" s="12" t="s">
        <v>15</v>
      </c>
      <c r="F417" t="s">
        <v>33</v>
      </c>
      <c r="G417" s="3">
        <v>0.10736057701652624</v>
      </c>
      <c r="H417" s="13">
        <v>673740</v>
      </c>
      <c r="I417" s="13">
        <f t="shared" si="12"/>
        <v>72333.115159114386</v>
      </c>
      <c r="J417" s="29">
        <v>15522.213497523813</v>
      </c>
      <c r="K417" s="58">
        <f t="shared" si="13"/>
        <v>4.6599742472717152</v>
      </c>
      <c r="L417" s="56"/>
      <c r="M417" s="49">
        <v>443.50583749579579</v>
      </c>
      <c r="N417" s="49">
        <f>M417*I417</f>
        <v>32080158.817322869</v>
      </c>
    </row>
    <row r="418" spans="2:14">
      <c r="B418" s="2">
        <v>2024</v>
      </c>
      <c r="C418" s="2" t="s">
        <v>31</v>
      </c>
      <c r="D418" s="12" t="s">
        <v>15</v>
      </c>
      <c r="E418" s="12" t="s">
        <v>15</v>
      </c>
      <c r="F418" t="s">
        <v>34</v>
      </c>
      <c r="G418" s="3">
        <v>0.37088199332981786</v>
      </c>
      <c r="H418" s="13">
        <v>673740</v>
      </c>
      <c r="I418" s="13">
        <f t="shared" si="12"/>
        <v>249878.03418603149</v>
      </c>
      <c r="J418" s="29">
        <v>22187.914144736846</v>
      </c>
      <c r="K418" s="58">
        <f t="shared" si="13"/>
        <v>11.261898372060566</v>
      </c>
      <c r="L418" s="56"/>
      <c r="M418" s="49">
        <v>443.50583749579579</v>
      </c>
      <c r="N418" s="49">
        <f>M418*I418</f>
        <v>110822366.82347898</v>
      </c>
    </row>
    <row r="419" spans="2:14">
      <c r="B419" s="2">
        <v>2024</v>
      </c>
      <c r="C419" s="2" t="s">
        <v>31</v>
      </c>
      <c r="D419" s="12" t="s">
        <v>15</v>
      </c>
      <c r="E419" s="12" t="s">
        <v>15</v>
      </c>
      <c r="F419" t="s">
        <v>35</v>
      </c>
      <c r="G419" s="3">
        <v>9.7600524560478394E-2</v>
      </c>
      <c r="H419" s="13">
        <v>673740</v>
      </c>
      <c r="I419" s="13">
        <f t="shared" si="12"/>
        <v>65757.377417376716</v>
      </c>
      <c r="J419" s="29">
        <v>22258.334850000323</v>
      </c>
      <c r="K419" s="58">
        <f t="shared" si="13"/>
        <v>2.9542810754046931</v>
      </c>
      <c r="L419" s="56"/>
      <c r="M419" s="49">
        <v>443.50583749579579</v>
      </c>
      <c r="N419" s="49">
        <f>M419*I419</f>
        <v>29163780.743020788</v>
      </c>
    </row>
    <row r="420" spans="2:14">
      <c r="B420" s="2">
        <v>2024</v>
      </c>
      <c r="C420" s="2" t="s">
        <v>31</v>
      </c>
      <c r="D420" s="12" t="s">
        <v>15</v>
      </c>
      <c r="E420" s="12" t="s">
        <v>15</v>
      </c>
      <c r="F420" t="s">
        <v>36</v>
      </c>
      <c r="G420" s="3">
        <v>0.11712062947257405</v>
      </c>
      <c r="H420" s="13">
        <v>673740</v>
      </c>
      <c r="I420" s="13">
        <f t="shared" si="12"/>
        <v>78908.852900852042</v>
      </c>
      <c r="J420" s="29">
        <v>8598.8278142857234</v>
      </c>
      <c r="K420" s="58">
        <f t="shared" si="13"/>
        <v>9.176698801871142</v>
      </c>
      <c r="L420" s="56"/>
      <c r="M420" s="49">
        <v>443.50583749579579</v>
      </c>
      <c r="N420" s="49">
        <f>M420*I420</f>
        <v>34996536.891624942</v>
      </c>
    </row>
    <row r="421" spans="2:14">
      <c r="B421" s="2">
        <v>2024</v>
      </c>
      <c r="C421" s="2" t="s">
        <v>31</v>
      </c>
      <c r="D421" s="12" t="s">
        <v>15</v>
      </c>
      <c r="E421" s="12" t="s">
        <v>15</v>
      </c>
      <c r="F421" t="s">
        <v>37</v>
      </c>
      <c r="G421" s="3">
        <v>0.13664073438466978</v>
      </c>
      <c r="H421" s="13">
        <v>673740</v>
      </c>
      <c r="I421" s="13">
        <f t="shared" si="12"/>
        <v>92060.328384327426</v>
      </c>
      <c r="J421" s="29">
        <v>25454.158928571404</v>
      </c>
      <c r="K421" s="58">
        <f t="shared" si="13"/>
        <v>3.6167106775228359</v>
      </c>
      <c r="L421" s="56"/>
      <c r="M421" s="49">
        <v>443.50583749579579</v>
      </c>
      <c r="N421" s="49">
        <f>M421*I421</f>
        <v>40829293.040229119</v>
      </c>
    </row>
    <row r="422" spans="2:14">
      <c r="B422" s="2">
        <v>2024</v>
      </c>
      <c r="C422" s="2" t="s">
        <v>31</v>
      </c>
      <c r="D422" s="12" t="s">
        <v>15</v>
      </c>
      <c r="E422" s="12" t="s">
        <v>15</v>
      </c>
      <c r="F422" s="9" t="s">
        <v>38</v>
      </c>
      <c r="G422" s="10">
        <v>1</v>
      </c>
      <c r="H422" s="13">
        <v>673740</v>
      </c>
      <c r="I422" s="13">
        <f t="shared" si="12"/>
        <v>673740</v>
      </c>
      <c r="J422" s="29">
        <v>114425.89123511811</v>
      </c>
      <c r="K422" s="58">
        <f t="shared" si="13"/>
        <v>5.8880030797892049</v>
      </c>
      <c r="L422" s="56"/>
      <c r="M422" s="49">
        <v>443.50583749579579</v>
      </c>
      <c r="N422" s="49">
        <f>M422*I422</f>
        <v>298807622.95441747</v>
      </c>
    </row>
    <row r="423" spans="2:14">
      <c r="B423" s="2">
        <v>2024</v>
      </c>
      <c r="C423" s="2" t="s">
        <v>14</v>
      </c>
      <c r="D423" s="12" t="s">
        <v>15</v>
      </c>
      <c r="E423" s="12" t="s">
        <v>15</v>
      </c>
      <c r="F423" t="s">
        <v>32</v>
      </c>
      <c r="G423" s="3">
        <v>0.14640078684071758</v>
      </c>
      <c r="H423" s="13">
        <v>647280</v>
      </c>
      <c r="I423" s="13">
        <f t="shared" si="12"/>
        <v>94762.301306259673</v>
      </c>
      <c r="J423" s="29">
        <v>19402.984680000001</v>
      </c>
      <c r="K423" s="58">
        <f t="shared" si="13"/>
        <v>4.8839033204998472</v>
      </c>
      <c r="L423" s="56"/>
      <c r="M423" s="49">
        <v>452.2763812634293</v>
      </c>
      <c r="N423" s="49">
        <f>M423*I423</f>
        <v>42858750.714989863</v>
      </c>
    </row>
    <row r="424" spans="2:14">
      <c r="B424" s="2">
        <v>2024</v>
      </c>
      <c r="C424" s="2" t="s">
        <v>14</v>
      </c>
      <c r="D424" s="12" t="s">
        <v>15</v>
      </c>
      <c r="E424" s="12" t="s">
        <v>15</v>
      </c>
      <c r="F424" t="s">
        <v>33</v>
      </c>
      <c r="G424" s="3">
        <v>0.10736057701652624</v>
      </c>
      <c r="H424" s="13">
        <v>647280</v>
      </c>
      <c r="I424" s="13">
        <f t="shared" si="12"/>
        <v>69492.354291257099</v>
      </c>
      <c r="J424" s="29">
        <v>15944.667402476192</v>
      </c>
      <c r="K424" s="58">
        <f t="shared" si="13"/>
        <v>4.3583445510105152</v>
      </c>
      <c r="L424" s="56"/>
      <c r="M424" s="49">
        <v>452.2763812634293</v>
      </c>
      <c r="N424" s="49">
        <f>M424*I424</f>
        <v>31429750.524325904</v>
      </c>
    </row>
    <row r="425" spans="2:14">
      <c r="B425" s="2">
        <v>2024</v>
      </c>
      <c r="C425" s="2" t="s">
        <v>14</v>
      </c>
      <c r="D425" s="12" t="s">
        <v>15</v>
      </c>
      <c r="E425" s="12" t="s">
        <v>15</v>
      </c>
      <c r="F425" t="s">
        <v>34</v>
      </c>
      <c r="G425" s="3">
        <v>0.37088199332981786</v>
      </c>
      <c r="H425" s="13">
        <v>647280</v>
      </c>
      <c r="I425" s="13">
        <f t="shared" si="12"/>
        <v>240064.49664252449</v>
      </c>
      <c r="J425" s="29">
        <v>21730.915460526317</v>
      </c>
      <c r="K425" s="58">
        <f t="shared" si="13"/>
        <v>11.047141436751518</v>
      </c>
      <c r="L425" s="56"/>
      <c r="M425" s="49">
        <v>452.2763812634293</v>
      </c>
      <c r="N425" s="49">
        <f>M425*I425</f>
        <v>108575501.81130765</v>
      </c>
    </row>
    <row r="426" spans="2:14">
      <c r="B426" s="2">
        <v>2024</v>
      </c>
      <c r="C426" s="2" t="s">
        <v>14</v>
      </c>
      <c r="D426" s="12" t="s">
        <v>15</v>
      </c>
      <c r="E426" s="12" t="s">
        <v>15</v>
      </c>
      <c r="F426" t="s">
        <v>35</v>
      </c>
      <c r="G426" s="3">
        <v>9.7600524560478394E-2</v>
      </c>
      <c r="H426" s="13">
        <v>647280</v>
      </c>
      <c r="I426" s="13">
        <f t="shared" si="12"/>
        <v>63174.867537506456</v>
      </c>
      <c r="J426" s="29">
        <v>22484.498132381152</v>
      </c>
      <c r="K426" s="58">
        <f t="shared" si="13"/>
        <v>2.8097077001921109</v>
      </c>
      <c r="L426" s="56"/>
      <c r="M426" s="49">
        <v>452.2763812634293</v>
      </c>
      <c r="N426" s="49">
        <f>M426*I426</f>
        <v>28572500.476659913</v>
      </c>
    </row>
    <row r="427" spans="2:14">
      <c r="B427" s="2">
        <v>2024</v>
      </c>
      <c r="C427" s="2" t="s">
        <v>14</v>
      </c>
      <c r="D427" s="12" t="s">
        <v>15</v>
      </c>
      <c r="E427" s="12" t="s">
        <v>15</v>
      </c>
      <c r="F427" t="s">
        <v>36</v>
      </c>
      <c r="G427" s="3">
        <v>0.11712062947257405</v>
      </c>
      <c r="H427" s="13">
        <v>647280</v>
      </c>
      <c r="I427" s="13">
        <f t="shared" si="12"/>
        <v>75809.841045007735</v>
      </c>
      <c r="J427" s="29">
        <v>11267.342107618955</v>
      </c>
      <c r="K427" s="58">
        <f t="shared" si="13"/>
        <v>6.7282807534303286</v>
      </c>
      <c r="L427" s="56"/>
      <c r="M427" s="49">
        <v>452.2763812634293</v>
      </c>
      <c r="N427" s="49">
        <f>M427*I427</f>
        <v>34287000.571991891</v>
      </c>
    </row>
    <row r="428" spans="2:14">
      <c r="B428" s="2">
        <v>2024</v>
      </c>
      <c r="C428" s="2" t="s">
        <v>14</v>
      </c>
      <c r="D428" s="12" t="s">
        <v>15</v>
      </c>
      <c r="E428" s="12" t="s">
        <v>15</v>
      </c>
      <c r="F428" t="s">
        <v>37</v>
      </c>
      <c r="G428" s="3">
        <v>0.13664073438466978</v>
      </c>
      <c r="H428" s="13">
        <v>647280</v>
      </c>
      <c r="I428" s="13">
        <f t="shared" si="12"/>
        <v>88444.814552509051</v>
      </c>
      <c r="J428" s="29">
        <v>24107.535952381182</v>
      </c>
      <c r="K428" s="58">
        <f t="shared" si="13"/>
        <v>3.6687621135238029</v>
      </c>
      <c r="L428" s="56"/>
      <c r="M428" s="49">
        <v>452.2763812634293</v>
      </c>
      <c r="N428" s="49">
        <f>M428*I428</f>
        <v>40001500.667323887</v>
      </c>
    </row>
    <row r="429" spans="2:14">
      <c r="B429" s="2">
        <v>2024</v>
      </c>
      <c r="C429" s="2" t="s">
        <v>14</v>
      </c>
      <c r="D429" s="12" t="s">
        <v>15</v>
      </c>
      <c r="E429" s="12" t="s">
        <v>15</v>
      </c>
      <c r="F429" s="9" t="s">
        <v>38</v>
      </c>
      <c r="G429" s="10">
        <v>1</v>
      </c>
      <c r="H429" s="13">
        <v>647280</v>
      </c>
      <c r="I429" s="13">
        <f t="shared" si="12"/>
        <v>647280</v>
      </c>
      <c r="J429" s="29">
        <v>114937.9437353838</v>
      </c>
      <c r="K429" s="58">
        <f t="shared" si="13"/>
        <v>5.6315606401503251</v>
      </c>
      <c r="L429" s="56"/>
      <c r="M429" s="49">
        <v>452.2763812634293</v>
      </c>
      <c r="N429" s="49">
        <f>M429*I429</f>
        <v>292749456.06419253</v>
      </c>
    </row>
    <row r="430" spans="2:14">
      <c r="B430" s="2">
        <v>2024</v>
      </c>
      <c r="C430" s="2" t="s">
        <v>21</v>
      </c>
      <c r="D430" s="12" t="s">
        <v>15</v>
      </c>
      <c r="E430" s="12" t="s">
        <v>15</v>
      </c>
      <c r="F430" t="s">
        <v>32</v>
      </c>
      <c r="G430" s="3">
        <v>0.14640078684071758</v>
      </c>
      <c r="H430" s="13">
        <v>638191</v>
      </c>
      <c r="I430" s="13">
        <f t="shared" si="12"/>
        <v>93431.664554664399</v>
      </c>
      <c r="J430" s="29">
        <v>20335.73287</v>
      </c>
      <c r="K430" s="58">
        <f t="shared" si="13"/>
        <v>4.5944577041773664</v>
      </c>
      <c r="L430" s="56"/>
      <c r="M430" s="49">
        <v>460.84443894967723</v>
      </c>
      <c r="N430" s="49">
        <f>M430*I430</f>
        <v>43057463.031828761</v>
      </c>
    </row>
    <row r="431" spans="2:14">
      <c r="B431" s="2">
        <v>2024</v>
      </c>
      <c r="C431" s="2" t="s">
        <v>21</v>
      </c>
      <c r="D431" s="12" t="s">
        <v>15</v>
      </c>
      <c r="E431" s="12" t="s">
        <v>15</v>
      </c>
      <c r="F431" t="s">
        <v>33</v>
      </c>
      <c r="G431" s="3">
        <v>0.10736057701652624</v>
      </c>
      <c r="H431" s="13">
        <v>638191</v>
      </c>
      <c r="I431" s="13">
        <f t="shared" si="12"/>
        <v>68516.554006753897</v>
      </c>
      <c r="J431" s="29">
        <v>13763.847889428573</v>
      </c>
      <c r="K431" s="58">
        <f t="shared" si="13"/>
        <v>4.9780086613263546</v>
      </c>
      <c r="L431" s="56"/>
      <c r="M431" s="49">
        <v>460.84443894967723</v>
      </c>
      <c r="N431" s="49">
        <f>M431*I431</f>
        <v>31575472.89000776</v>
      </c>
    </row>
    <row r="432" spans="2:14">
      <c r="B432" s="2">
        <v>2024</v>
      </c>
      <c r="C432" s="2" t="s">
        <v>21</v>
      </c>
      <c r="D432" s="12" t="s">
        <v>15</v>
      </c>
      <c r="E432" s="12" t="s">
        <v>15</v>
      </c>
      <c r="F432" t="s">
        <v>34</v>
      </c>
      <c r="G432" s="3">
        <v>0.37088199332981786</v>
      </c>
      <c r="H432" s="13">
        <v>638191</v>
      </c>
      <c r="I432" s="13">
        <f t="shared" si="12"/>
        <v>236693.5502051498</v>
      </c>
      <c r="J432" s="29">
        <v>20342.417434210529</v>
      </c>
      <c r="K432" s="58">
        <f t="shared" si="13"/>
        <v>11.635468152722806</v>
      </c>
      <c r="L432" s="56"/>
      <c r="M432" s="49">
        <v>460.84443894967723</v>
      </c>
      <c r="N432" s="49">
        <f>M432*I432</f>
        <v>109078906.34729952</v>
      </c>
    </row>
    <row r="433" spans="2:14">
      <c r="B433" s="2">
        <v>2024</v>
      </c>
      <c r="C433" s="2" t="s">
        <v>21</v>
      </c>
      <c r="D433" s="12" t="s">
        <v>15</v>
      </c>
      <c r="E433" s="12" t="s">
        <v>15</v>
      </c>
      <c r="F433" t="s">
        <v>35</v>
      </c>
      <c r="G433" s="3">
        <v>9.7600524560478394E-2</v>
      </c>
      <c r="H433" s="13">
        <v>638191</v>
      </c>
      <c r="I433" s="13">
        <f t="shared" si="12"/>
        <v>62287.776369776264</v>
      </c>
      <c r="J433" s="29">
        <v>21973.742050476547</v>
      </c>
      <c r="K433" s="58">
        <f t="shared" si="13"/>
        <v>2.8346458344096845</v>
      </c>
      <c r="L433" s="56"/>
      <c r="M433" s="49">
        <v>460.84443894967723</v>
      </c>
      <c r="N433" s="49">
        <f>M433*I433</f>
        <v>28704975.354552504</v>
      </c>
    </row>
    <row r="434" spans="2:14">
      <c r="B434" s="2">
        <v>2024</v>
      </c>
      <c r="C434" s="2" t="s">
        <v>21</v>
      </c>
      <c r="D434" s="12" t="s">
        <v>15</v>
      </c>
      <c r="E434" s="12" t="s">
        <v>15</v>
      </c>
      <c r="F434" t="s">
        <v>36</v>
      </c>
      <c r="G434" s="3">
        <v>0.11712062947257405</v>
      </c>
      <c r="H434" s="13">
        <v>638191</v>
      </c>
      <c r="I434" s="13">
        <f t="shared" si="12"/>
        <v>74745.331643731508</v>
      </c>
      <c r="J434" s="29">
        <v>10506.659361904689</v>
      </c>
      <c r="K434" s="58">
        <f t="shared" si="13"/>
        <v>7.1140910796770491</v>
      </c>
      <c r="L434" s="56"/>
      <c r="M434" s="49">
        <v>460.84443894967723</v>
      </c>
      <c r="N434" s="49">
        <f>M434*I434</f>
        <v>34445970.425463006</v>
      </c>
    </row>
    <row r="435" spans="2:14">
      <c r="B435" s="2">
        <v>2024</v>
      </c>
      <c r="C435" s="2" t="s">
        <v>21</v>
      </c>
      <c r="D435" s="12" t="s">
        <v>15</v>
      </c>
      <c r="E435" s="12" t="s">
        <v>15</v>
      </c>
      <c r="F435" t="s">
        <v>37</v>
      </c>
      <c r="G435" s="3">
        <v>0.13664073438466978</v>
      </c>
      <c r="H435" s="13">
        <v>638191</v>
      </c>
      <c r="I435" s="13">
        <f t="shared" si="12"/>
        <v>87202.886917686788</v>
      </c>
      <c r="J435" s="29">
        <v>21711.571190476403</v>
      </c>
      <c r="K435" s="58">
        <f t="shared" si="13"/>
        <v>4.0164245209456606</v>
      </c>
      <c r="L435" s="56"/>
      <c r="M435" s="49">
        <v>460.84443894967723</v>
      </c>
      <c r="N435" s="49">
        <f>M435*I435</f>
        <v>40186965.496373519</v>
      </c>
    </row>
    <row r="436" spans="2:14">
      <c r="B436" s="2">
        <v>2024</v>
      </c>
      <c r="C436" s="2" t="s">
        <v>21</v>
      </c>
      <c r="D436" s="12" t="s">
        <v>15</v>
      </c>
      <c r="E436" s="12" t="s">
        <v>15</v>
      </c>
      <c r="F436" s="9" t="s">
        <v>38</v>
      </c>
      <c r="G436" s="10">
        <v>1</v>
      </c>
      <c r="H436" s="13">
        <v>638191</v>
      </c>
      <c r="I436" s="13">
        <f t="shared" si="12"/>
        <v>638191</v>
      </c>
      <c r="J436" s="29">
        <v>108633.97079649674</v>
      </c>
      <c r="K436" s="58">
        <f t="shared" si="13"/>
        <v>5.8746909030465133</v>
      </c>
      <c r="L436" s="56"/>
      <c r="M436" s="49">
        <v>460.84443894967723</v>
      </c>
      <c r="N436" s="49">
        <f>M436*I436</f>
        <v>294106773.33773345</v>
      </c>
    </row>
    <row r="437" spans="2:14">
      <c r="B437" s="2">
        <v>2024</v>
      </c>
      <c r="C437" s="2" t="s">
        <v>22</v>
      </c>
      <c r="D437" s="12" t="s">
        <v>15</v>
      </c>
      <c r="E437" s="12" t="s">
        <v>15</v>
      </c>
      <c r="F437" t="s">
        <v>32</v>
      </c>
      <c r="G437" s="3">
        <v>0.14640078684071758</v>
      </c>
      <c r="H437" s="13">
        <v>631656</v>
      </c>
      <c r="I437" s="13">
        <f t="shared" si="12"/>
        <v>92474.935412660299</v>
      </c>
      <c r="J437" s="29">
        <v>17326.014500000001</v>
      </c>
      <c r="K437" s="58">
        <f t="shared" si="13"/>
        <v>5.3373460707112006</v>
      </c>
      <c r="L437" s="56"/>
      <c r="M437" s="49">
        <v>460.71503592656978</v>
      </c>
      <c r="N437" s="49">
        <f>M437*I437</f>
        <v>42604593.190951012</v>
      </c>
    </row>
    <row r="438" spans="2:14">
      <c r="B438" s="2">
        <v>2024</v>
      </c>
      <c r="C438" s="2" t="s">
        <v>22</v>
      </c>
      <c r="D438" s="12" t="s">
        <v>15</v>
      </c>
      <c r="E438" s="12" t="s">
        <v>15</v>
      </c>
      <c r="F438" t="s">
        <v>33</v>
      </c>
      <c r="G438" s="3">
        <v>0.10736057701652624</v>
      </c>
      <c r="H438" s="13">
        <v>631656</v>
      </c>
      <c r="I438" s="13">
        <f t="shared" si="12"/>
        <v>67814.952635950904</v>
      </c>
      <c r="J438" s="29">
        <v>16996.375182761909</v>
      </c>
      <c r="K438" s="58">
        <f t="shared" si="13"/>
        <v>3.9899656195357638</v>
      </c>
      <c r="L438" s="56"/>
      <c r="M438" s="49">
        <v>460.71503592656978</v>
      </c>
      <c r="N438" s="49">
        <f>M438*I438</f>
        <v>31243368.340030748</v>
      </c>
    </row>
    <row r="439" spans="2:14">
      <c r="B439" s="2">
        <v>2024</v>
      </c>
      <c r="C439" s="2" t="s">
        <v>22</v>
      </c>
      <c r="D439" s="12" t="s">
        <v>15</v>
      </c>
      <c r="E439" s="12" t="s">
        <v>15</v>
      </c>
      <c r="F439" t="s">
        <v>34</v>
      </c>
      <c r="G439" s="3">
        <v>0.37088199332981786</v>
      </c>
      <c r="H439" s="13">
        <v>631656</v>
      </c>
      <c r="I439" s="13">
        <f t="shared" si="12"/>
        <v>234269.83637873942</v>
      </c>
      <c r="J439" s="29">
        <v>21479.558881578949</v>
      </c>
      <c r="K439" s="58">
        <f t="shared" si="13"/>
        <v>10.906640945017321</v>
      </c>
      <c r="L439" s="56"/>
      <c r="M439" s="49">
        <v>460.71503592656978</v>
      </c>
      <c r="N439" s="49">
        <f>M439*I439</f>
        <v>107931636.08374256</v>
      </c>
    </row>
    <row r="440" spans="2:14">
      <c r="B440" s="2">
        <v>2024</v>
      </c>
      <c r="C440" s="2" t="s">
        <v>22</v>
      </c>
      <c r="D440" s="12" t="s">
        <v>15</v>
      </c>
      <c r="E440" s="12" t="s">
        <v>15</v>
      </c>
      <c r="F440" t="s">
        <v>35</v>
      </c>
      <c r="G440" s="3">
        <v>9.7600524560478394E-2</v>
      </c>
      <c r="H440" s="13">
        <v>631656</v>
      </c>
      <c r="I440" s="13">
        <f t="shared" si="12"/>
        <v>61649.95694177354</v>
      </c>
      <c r="J440" s="29">
        <v>20553.092349523886</v>
      </c>
      <c r="K440" s="58">
        <f t="shared" si="13"/>
        <v>2.9995465350595607</v>
      </c>
      <c r="L440" s="56"/>
      <c r="M440" s="49">
        <v>460.71503592656978</v>
      </c>
      <c r="N440" s="49">
        <f>M440*I440</f>
        <v>28403062.127300676</v>
      </c>
    </row>
    <row r="441" spans="2:14">
      <c r="B441" s="2">
        <v>2024</v>
      </c>
      <c r="C441" s="2" t="s">
        <v>22</v>
      </c>
      <c r="D441" s="12" t="s">
        <v>15</v>
      </c>
      <c r="E441" s="12" t="s">
        <v>15</v>
      </c>
      <c r="F441" t="s">
        <v>36</v>
      </c>
      <c r="G441" s="3">
        <v>0.11712062947257405</v>
      </c>
      <c r="H441" s="13">
        <v>631656</v>
      </c>
      <c r="I441" s="13">
        <f t="shared" si="12"/>
        <v>73979.948330128231</v>
      </c>
      <c r="J441" s="29">
        <v>10655.007104761866</v>
      </c>
      <c r="K441" s="58">
        <f t="shared" si="13"/>
        <v>6.9432096668490813</v>
      </c>
      <c r="L441" s="56"/>
      <c r="M441" s="49">
        <v>460.71503592656978</v>
      </c>
      <c r="N441" s="49">
        <f>M441*I441</f>
        <v>34083674.552760802</v>
      </c>
    </row>
    <row r="442" spans="2:14">
      <c r="B442" s="2">
        <v>2024</v>
      </c>
      <c r="C442" s="2" t="s">
        <v>22</v>
      </c>
      <c r="D442" s="12" t="s">
        <v>15</v>
      </c>
      <c r="E442" s="12" t="s">
        <v>15</v>
      </c>
      <c r="F442" t="s">
        <v>37</v>
      </c>
      <c r="G442" s="3">
        <v>0.13664073438466978</v>
      </c>
      <c r="H442" s="13">
        <v>631656</v>
      </c>
      <c r="I442" s="13">
        <f t="shared" si="12"/>
        <v>86309.939718482972</v>
      </c>
      <c r="J442" s="29">
        <v>22518.62742857173</v>
      </c>
      <c r="K442" s="58">
        <f t="shared" si="13"/>
        <v>3.8328241804370613</v>
      </c>
      <c r="L442" s="56"/>
      <c r="M442" s="49">
        <v>460.71503592656978</v>
      </c>
      <c r="N442" s="49">
        <f>M442*I442</f>
        <v>39764286.978220955</v>
      </c>
    </row>
    <row r="443" spans="2:14">
      <c r="B443" s="2">
        <v>2025</v>
      </c>
      <c r="C443" s="2" t="s">
        <v>22</v>
      </c>
      <c r="D443" s="12" t="s">
        <v>15</v>
      </c>
      <c r="E443" s="12" t="s">
        <v>15</v>
      </c>
      <c r="F443" s="9" t="s">
        <v>38</v>
      </c>
      <c r="G443" s="10">
        <v>1</v>
      </c>
      <c r="H443" s="13">
        <v>631656</v>
      </c>
      <c r="I443" s="13">
        <f t="shared" si="12"/>
        <v>631656</v>
      </c>
      <c r="J443" s="29">
        <v>109528.67544719833</v>
      </c>
      <c r="K443" s="58">
        <f t="shared" si="13"/>
        <v>5.7670376951149125</v>
      </c>
      <c r="L443" s="56"/>
      <c r="M443" s="49">
        <v>460.71503592656978</v>
      </c>
      <c r="N443" s="49">
        <f>M443*I443</f>
        <v>291013416.73323339</v>
      </c>
    </row>
    <row r="444" spans="2:14">
      <c r="B444" s="2">
        <v>2025</v>
      </c>
      <c r="C444" s="2" t="s">
        <v>23</v>
      </c>
      <c r="D444" s="12" t="s">
        <v>15</v>
      </c>
      <c r="E444" s="12" t="s">
        <v>15</v>
      </c>
      <c r="F444" t="s">
        <v>32</v>
      </c>
      <c r="G444" s="3">
        <v>0.14640078684071758</v>
      </c>
      <c r="H444" s="13">
        <v>642816</v>
      </c>
      <c r="I444" s="13">
        <f t="shared" si="12"/>
        <v>94108.768193802709</v>
      </c>
      <c r="J444" s="29">
        <v>21216.403200000004</v>
      </c>
      <c r="K444" s="58">
        <f t="shared" si="13"/>
        <v>4.4356608095477128</v>
      </c>
      <c r="L444" s="56"/>
      <c r="M444" s="49">
        <v>513.14069417539702</v>
      </c>
      <c r="N444" s="49">
        <f>M444*I444</f>
        <v>48291038.638959445</v>
      </c>
    </row>
    <row r="445" spans="2:14">
      <c r="B445" s="2">
        <v>2025</v>
      </c>
      <c r="C445" s="2" t="s">
        <v>23</v>
      </c>
      <c r="D445" s="12" t="s">
        <v>15</v>
      </c>
      <c r="E445" s="12" t="s">
        <v>15</v>
      </c>
      <c r="F445" t="s">
        <v>33</v>
      </c>
      <c r="G445" s="3">
        <v>0.10736057701652624</v>
      </c>
      <c r="H445" s="13">
        <v>642816</v>
      </c>
      <c r="I445" s="13">
        <f t="shared" si="12"/>
        <v>69013.096675455323</v>
      </c>
      <c r="J445" s="29">
        <v>16493.04504961905</v>
      </c>
      <c r="K445" s="58">
        <f t="shared" si="13"/>
        <v>4.1843756848920606</v>
      </c>
      <c r="L445" s="56"/>
      <c r="M445" s="49">
        <v>513.14069417539702</v>
      </c>
      <c r="N445" s="49">
        <f>M445*I445</f>
        <v>35413428.335236929</v>
      </c>
    </row>
    <row r="446" spans="2:14">
      <c r="B446" s="2">
        <v>2025</v>
      </c>
      <c r="C446" s="2" t="s">
        <v>23</v>
      </c>
      <c r="D446" s="12" t="s">
        <v>15</v>
      </c>
      <c r="E446" s="12" t="s">
        <v>15</v>
      </c>
      <c r="F446" t="s">
        <v>34</v>
      </c>
      <c r="G446" s="3">
        <v>0.37088199332981786</v>
      </c>
      <c r="H446" s="13">
        <v>642816</v>
      </c>
      <c r="I446" s="13">
        <f t="shared" si="12"/>
        <v>238408.87942430019</v>
      </c>
      <c r="J446" s="29">
        <v>20132.38157894737</v>
      </c>
      <c r="K446" s="58">
        <f t="shared" si="13"/>
        <v>11.842060438274562</v>
      </c>
      <c r="L446" s="56"/>
      <c r="M446" s="49">
        <v>513.14069417539702</v>
      </c>
      <c r="N446" s="49">
        <f>M446*I446</f>
        <v>122337297.88536392</v>
      </c>
    </row>
    <row r="447" spans="2:14">
      <c r="B447" s="2">
        <v>2025</v>
      </c>
      <c r="C447" s="2" t="s">
        <v>23</v>
      </c>
      <c r="D447" s="12" t="s">
        <v>15</v>
      </c>
      <c r="E447" s="12" t="s">
        <v>15</v>
      </c>
      <c r="F447" t="s">
        <v>35</v>
      </c>
      <c r="G447" s="3">
        <v>9.7600524560478394E-2</v>
      </c>
      <c r="H447" s="13">
        <v>642816</v>
      </c>
      <c r="I447" s="13">
        <f t="shared" si="12"/>
        <v>62739.17879586848</v>
      </c>
      <c r="J447" s="29">
        <v>21262.674346666739</v>
      </c>
      <c r="K447" s="58">
        <f t="shared" si="13"/>
        <v>2.9506720449633299</v>
      </c>
      <c r="L447" s="56"/>
      <c r="M447" s="49">
        <v>513.14069417539702</v>
      </c>
      <c r="N447" s="49">
        <f>M447*I447</f>
        <v>32194025.7593063</v>
      </c>
    </row>
    <row r="448" spans="2:14">
      <c r="B448" s="2">
        <v>2025</v>
      </c>
      <c r="C448" s="2" t="s">
        <v>23</v>
      </c>
      <c r="D448" s="12" t="s">
        <v>15</v>
      </c>
      <c r="E448" s="12" t="s">
        <v>15</v>
      </c>
      <c r="F448" t="s">
        <v>36</v>
      </c>
      <c r="G448" s="3">
        <v>0.11712062947257405</v>
      </c>
      <c r="H448" s="13">
        <v>642816</v>
      </c>
      <c r="I448" s="13">
        <f t="shared" si="12"/>
        <v>75287.014555042158</v>
      </c>
      <c r="J448" s="29">
        <v>11382.031999999908</v>
      </c>
      <c r="K448" s="58">
        <f t="shared" si="13"/>
        <v>6.6145495422120382</v>
      </c>
      <c r="L448" s="56"/>
      <c r="M448" s="49">
        <v>513.14069417539702</v>
      </c>
      <c r="N448" s="49">
        <f>M448*I448</f>
        <v>38632830.911167555</v>
      </c>
    </row>
    <row r="449" spans="2:14">
      <c r="B449" s="2">
        <v>2025</v>
      </c>
      <c r="C449" s="2" t="s">
        <v>23</v>
      </c>
      <c r="D449" s="12" t="s">
        <v>15</v>
      </c>
      <c r="E449" s="12" t="s">
        <v>15</v>
      </c>
      <c r="F449" t="s">
        <v>37</v>
      </c>
      <c r="G449" s="3">
        <v>0.13664073438466978</v>
      </c>
      <c r="H449" s="13">
        <v>642816</v>
      </c>
      <c r="I449" s="13">
        <f t="shared" si="12"/>
        <v>87834.850314215888</v>
      </c>
      <c r="J449" s="29">
        <v>22550.025357143171</v>
      </c>
      <c r="K449" s="58">
        <f t="shared" si="13"/>
        <v>3.8951109332740703</v>
      </c>
      <c r="L449" s="56"/>
      <c r="M449" s="49">
        <v>513.14069417539702</v>
      </c>
      <c r="N449" s="49">
        <f>M449*I449</f>
        <v>45071636.063028827</v>
      </c>
    </row>
    <row r="450" spans="2:14">
      <c r="B450" s="2">
        <v>2025</v>
      </c>
      <c r="C450" s="2" t="s">
        <v>23</v>
      </c>
      <c r="D450" s="12" t="s">
        <v>15</v>
      </c>
      <c r="E450" s="12" t="s">
        <v>15</v>
      </c>
      <c r="F450" s="9" t="s">
        <v>38</v>
      </c>
      <c r="G450" s="10">
        <v>1</v>
      </c>
      <c r="H450" s="13">
        <v>642816</v>
      </c>
      <c r="I450" s="13">
        <f t="shared" si="12"/>
        <v>642816</v>
      </c>
      <c r="J450" s="29">
        <v>113036.56153237623</v>
      </c>
      <c r="K450" s="58">
        <f t="shared" si="13"/>
        <v>5.6867971856688415</v>
      </c>
      <c r="L450" s="56"/>
      <c r="M450" s="49">
        <v>513.14069417539702</v>
      </c>
      <c r="N450" s="49">
        <f>M450*I450</f>
        <v>329855048.46705198</v>
      </c>
    </row>
    <row r="451" spans="2:14">
      <c r="B451" s="2">
        <v>2025</v>
      </c>
      <c r="C451" s="2" t="s">
        <v>24</v>
      </c>
      <c r="D451" s="12" t="s">
        <v>15</v>
      </c>
      <c r="E451" s="12" t="s">
        <v>15</v>
      </c>
      <c r="F451" t="s">
        <v>32</v>
      </c>
      <c r="G451" s="3">
        <v>0.14640078684071758</v>
      </c>
      <c r="H451" s="13">
        <v>575568</v>
      </c>
      <c r="I451" s="13">
        <f t="shared" ref="I451:I514" si="14">G451*H451</f>
        <v>84263.608080338134</v>
      </c>
      <c r="J451" s="29">
        <v>16081.936300000001</v>
      </c>
      <c r="K451" s="58">
        <f t="shared" si="13"/>
        <v>5.2396431939814443</v>
      </c>
      <c r="L451" s="56"/>
      <c r="M451" s="49">
        <v>536.455048245488</v>
      </c>
      <c r="N451" s="49">
        <f>M451*I451</f>
        <v>45203637.938076682</v>
      </c>
    </row>
    <row r="452" spans="2:14">
      <c r="B452" s="2">
        <v>2025</v>
      </c>
      <c r="C452" s="2" t="s">
        <v>24</v>
      </c>
      <c r="D452" s="12" t="s">
        <v>15</v>
      </c>
      <c r="E452" s="12" t="s">
        <v>15</v>
      </c>
      <c r="F452" t="s">
        <v>33</v>
      </c>
      <c r="G452" s="3">
        <v>0.10736057701652624</v>
      </c>
      <c r="H452" s="13">
        <v>575568</v>
      </c>
      <c r="I452" s="13">
        <f t="shared" si="14"/>
        <v>61793.312592247974</v>
      </c>
      <c r="J452" s="29">
        <v>13309.061171380956</v>
      </c>
      <c r="K452" s="58">
        <f t="shared" ref="K452:K515" si="15">IFERROR(I452/J452,0)</f>
        <v>4.6429505279549534</v>
      </c>
      <c r="L452" s="56"/>
      <c r="M452" s="49">
        <v>536.455048245488</v>
      </c>
      <c r="N452" s="49">
        <f>M452*I452</f>
        <v>33149334.487922907</v>
      </c>
    </row>
    <row r="453" spans="2:14">
      <c r="B453" s="2">
        <v>2025</v>
      </c>
      <c r="C453" s="2" t="s">
        <v>24</v>
      </c>
      <c r="D453" s="12" t="s">
        <v>15</v>
      </c>
      <c r="E453" s="12" t="s">
        <v>15</v>
      </c>
      <c r="F453" t="s">
        <v>34</v>
      </c>
      <c r="G453" s="3">
        <v>0.37088199332981786</v>
      </c>
      <c r="H453" s="13">
        <v>575568</v>
      </c>
      <c r="I453" s="13">
        <f t="shared" si="14"/>
        <v>213467.8071368566</v>
      </c>
      <c r="J453" s="29">
        <v>19109.441118421055</v>
      </c>
      <c r="K453" s="58">
        <f t="shared" si="15"/>
        <v>11.17080325970803</v>
      </c>
      <c r="L453" s="56"/>
      <c r="M453" s="49">
        <v>536.455048245488</v>
      </c>
      <c r="N453" s="49">
        <f>M453*I453</f>
        <v>114515882.77646093</v>
      </c>
    </row>
    <row r="454" spans="2:14">
      <c r="B454" s="2">
        <v>2025</v>
      </c>
      <c r="C454" s="2" t="s">
        <v>24</v>
      </c>
      <c r="D454" s="12" t="s">
        <v>15</v>
      </c>
      <c r="E454" s="12" t="s">
        <v>15</v>
      </c>
      <c r="F454" t="s">
        <v>35</v>
      </c>
      <c r="G454" s="3">
        <v>9.7600524560478394E-2</v>
      </c>
      <c r="H454" s="13">
        <v>575568</v>
      </c>
      <c r="I454" s="13">
        <f t="shared" si="14"/>
        <v>56175.738720225425</v>
      </c>
      <c r="J454" s="29">
        <v>18536.207915237777</v>
      </c>
      <c r="K454" s="58">
        <f t="shared" si="15"/>
        <v>3.0305949834564543</v>
      </c>
      <c r="L454" s="56"/>
      <c r="M454" s="49">
        <v>536.455048245488</v>
      </c>
      <c r="N454" s="49">
        <f>M454*I454</f>
        <v>30135758.625384457</v>
      </c>
    </row>
    <row r="455" spans="2:14">
      <c r="B455" s="2">
        <v>2025</v>
      </c>
      <c r="C455" s="2" t="s">
        <v>24</v>
      </c>
      <c r="D455" s="12" t="s">
        <v>15</v>
      </c>
      <c r="E455" s="12" t="s">
        <v>15</v>
      </c>
      <c r="F455" t="s">
        <v>36</v>
      </c>
      <c r="G455" s="3">
        <v>0.11712062947257405</v>
      </c>
      <c r="H455" s="13">
        <v>575568</v>
      </c>
      <c r="I455" s="13">
        <f t="shared" si="14"/>
        <v>67410.886464270501</v>
      </c>
      <c r="J455" s="29">
        <v>8640.9045138094461</v>
      </c>
      <c r="K455" s="58">
        <f t="shared" si="15"/>
        <v>7.8013692150558906</v>
      </c>
      <c r="L455" s="56"/>
      <c r="M455" s="49">
        <v>536.455048245488</v>
      </c>
      <c r="N455" s="49">
        <f>M455*I455</f>
        <v>36162910.350461349</v>
      </c>
    </row>
    <row r="456" spans="2:14">
      <c r="B456" s="2">
        <v>2025</v>
      </c>
      <c r="C456" s="2" t="s">
        <v>24</v>
      </c>
      <c r="D456" s="12" t="s">
        <v>15</v>
      </c>
      <c r="E456" s="12" t="s">
        <v>15</v>
      </c>
      <c r="F456" t="s">
        <v>37</v>
      </c>
      <c r="G456" s="3">
        <v>0.13664073438466978</v>
      </c>
      <c r="H456" s="13">
        <v>575568</v>
      </c>
      <c r="I456" s="13">
        <f t="shared" si="14"/>
        <v>78646.034208315614</v>
      </c>
      <c r="J456" s="29">
        <v>24077.839619047809</v>
      </c>
      <c r="K456" s="58">
        <f t="shared" si="15"/>
        <v>3.2663243651685132</v>
      </c>
      <c r="L456" s="56"/>
      <c r="M456" s="49">
        <v>536.455048245488</v>
      </c>
      <c r="N456" s="49">
        <f>M456*I456</f>
        <v>42190062.075538255</v>
      </c>
    </row>
    <row r="457" spans="2:14">
      <c r="B457" s="2">
        <v>2025</v>
      </c>
      <c r="C457" s="2" t="s">
        <v>24</v>
      </c>
      <c r="D457" s="12" t="s">
        <v>15</v>
      </c>
      <c r="E457" s="12" t="s">
        <v>15</v>
      </c>
      <c r="F457" s="9" t="s">
        <v>38</v>
      </c>
      <c r="G457" s="10">
        <v>1</v>
      </c>
      <c r="H457" s="13">
        <v>575568</v>
      </c>
      <c r="I457" s="13">
        <f t="shared" si="14"/>
        <v>575568</v>
      </c>
      <c r="J457" s="29">
        <v>99755.390637897057</v>
      </c>
      <c r="K457" s="58">
        <f t="shared" si="15"/>
        <v>5.7697934549648471</v>
      </c>
      <c r="L457" s="56"/>
      <c r="M457" s="49">
        <v>536.455048245488</v>
      </c>
      <c r="N457" s="49">
        <f>M457*I457</f>
        <v>308766359.20855904</v>
      </c>
    </row>
    <row r="458" spans="2:14">
      <c r="B458" s="2">
        <v>2025</v>
      </c>
      <c r="C458" s="2" t="s">
        <v>25</v>
      </c>
      <c r="D458" s="12" t="s">
        <v>15</v>
      </c>
      <c r="E458" s="12" t="s">
        <v>15</v>
      </c>
      <c r="F458" t="s">
        <v>32</v>
      </c>
      <c r="G458" s="3">
        <v>0.14640078684071758</v>
      </c>
      <c r="H458" s="13">
        <v>638475</v>
      </c>
      <c r="I458" s="13">
        <f t="shared" si="14"/>
        <v>93473.242378127165</v>
      </c>
      <c r="J458" s="29">
        <v>18959.178500000002</v>
      </c>
      <c r="K458" s="58">
        <f t="shared" si="15"/>
        <v>4.9302369497775</v>
      </c>
      <c r="L458" s="56"/>
      <c r="M458" s="49">
        <v>554.65298208047943</v>
      </c>
      <c r="N458" s="49">
        <f>M458*I458</f>
        <v>51845212.629759677</v>
      </c>
    </row>
    <row r="459" spans="2:14">
      <c r="B459" s="2">
        <v>2025</v>
      </c>
      <c r="C459" s="2" t="s">
        <v>25</v>
      </c>
      <c r="D459" s="12" t="s">
        <v>15</v>
      </c>
      <c r="E459" s="12" t="s">
        <v>15</v>
      </c>
      <c r="F459" t="s">
        <v>33</v>
      </c>
      <c r="G459" s="3">
        <v>0.10736057701652624</v>
      </c>
      <c r="H459" s="13">
        <v>638475</v>
      </c>
      <c r="I459" s="13">
        <f t="shared" si="14"/>
        <v>68547.044410626593</v>
      </c>
      <c r="J459" s="29">
        <v>12705.373284523812</v>
      </c>
      <c r="K459" s="58">
        <f t="shared" si="15"/>
        <v>5.3951224317134017</v>
      </c>
      <c r="L459" s="56"/>
      <c r="M459" s="49">
        <v>554.65298208047943</v>
      </c>
      <c r="N459" s="49">
        <f>M459*I459</f>
        <v>38019822.595157102</v>
      </c>
    </row>
    <row r="460" spans="2:14">
      <c r="B460" s="2">
        <v>2025</v>
      </c>
      <c r="C460" s="2" t="s">
        <v>25</v>
      </c>
      <c r="D460" s="12" t="s">
        <v>15</v>
      </c>
      <c r="E460" s="12" t="s">
        <v>15</v>
      </c>
      <c r="F460" t="s">
        <v>34</v>
      </c>
      <c r="G460" s="3">
        <v>0.37088199332981786</v>
      </c>
      <c r="H460" s="13">
        <v>638475</v>
      </c>
      <c r="I460" s="13">
        <f t="shared" si="14"/>
        <v>236798.88069125547</v>
      </c>
      <c r="J460" s="29">
        <v>21315.809539473685</v>
      </c>
      <c r="K460" s="58">
        <f t="shared" si="15"/>
        <v>11.109072834073668</v>
      </c>
      <c r="L460" s="56"/>
      <c r="M460" s="49">
        <v>554.65298208047943</v>
      </c>
      <c r="N460" s="49">
        <f>M460*I460</f>
        <v>131341205.3287245</v>
      </c>
    </row>
    <row r="461" spans="2:14">
      <c r="B461" s="2">
        <v>2025</v>
      </c>
      <c r="C461" s="2" t="s">
        <v>25</v>
      </c>
      <c r="D461" s="12" t="s">
        <v>15</v>
      </c>
      <c r="E461" s="12" t="s">
        <v>15</v>
      </c>
      <c r="F461" t="s">
        <v>35</v>
      </c>
      <c r="G461" s="3">
        <v>9.7600524560478394E-2</v>
      </c>
      <c r="H461" s="13">
        <v>638475</v>
      </c>
      <c r="I461" s="13">
        <f t="shared" si="14"/>
        <v>62315.494918751443</v>
      </c>
      <c r="J461" s="29">
        <v>19251.289434285332</v>
      </c>
      <c r="K461" s="58">
        <f t="shared" si="15"/>
        <v>3.2369517445294589</v>
      </c>
      <c r="L461" s="56"/>
      <c r="M461" s="49">
        <v>554.65298208047943</v>
      </c>
      <c r="N461" s="49">
        <f>M461*I461</f>
        <v>34563475.086506449</v>
      </c>
    </row>
    <row r="462" spans="2:14">
      <c r="B462" s="2">
        <v>2025</v>
      </c>
      <c r="C462" s="2" t="s">
        <v>25</v>
      </c>
      <c r="D462" s="12" t="s">
        <v>15</v>
      </c>
      <c r="E462" s="12" t="s">
        <v>15</v>
      </c>
      <c r="F462" t="s">
        <v>36</v>
      </c>
      <c r="G462" s="3">
        <v>0.11712062947257405</v>
      </c>
      <c r="H462" s="13">
        <v>638475</v>
      </c>
      <c r="I462" s="13">
        <f t="shared" si="14"/>
        <v>74778.593902501714</v>
      </c>
      <c r="J462" s="29">
        <v>10623.048476190368</v>
      </c>
      <c r="K462" s="58">
        <f t="shared" si="15"/>
        <v>7.0392782326188508</v>
      </c>
      <c r="L462" s="56"/>
      <c r="M462" s="49">
        <v>554.65298208047943</v>
      </c>
      <c r="N462" s="49">
        <f>M462*I462</f>
        <v>41476170.103807732</v>
      </c>
    </row>
    <row r="463" spans="2:14">
      <c r="B463" s="2">
        <v>2025</v>
      </c>
      <c r="C463" s="2" t="s">
        <v>25</v>
      </c>
      <c r="D463" s="12" t="s">
        <v>15</v>
      </c>
      <c r="E463" s="12" t="s">
        <v>15</v>
      </c>
      <c r="F463" t="s">
        <v>37</v>
      </c>
      <c r="G463" s="3">
        <v>0.13664073438466978</v>
      </c>
      <c r="H463" s="13">
        <v>638475</v>
      </c>
      <c r="I463" s="13">
        <f t="shared" si="14"/>
        <v>87241.692886252044</v>
      </c>
      <c r="J463" s="29">
        <v>24009.608404762184</v>
      </c>
      <c r="K463" s="58">
        <f t="shared" si="15"/>
        <v>3.6336158181133889</v>
      </c>
      <c r="L463" s="56"/>
      <c r="M463" s="49">
        <v>554.65298208047943</v>
      </c>
      <c r="N463" s="49">
        <f>M463*I463</f>
        <v>48388865.121109046</v>
      </c>
    </row>
    <row r="464" spans="2:14">
      <c r="B464" s="2">
        <v>2025</v>
      </c>
      <c r="C464" s="2" t="s">
        <v>25</v>
      </c>
      <c r="D464" s="12" t="s">
        <v>15</v>
      </c>
      <c r="E464" s="12" t="s">
        <v>15</v>
      </c>
      <c r="F464" s="9" t="s">
        <v>38</v>
      </c>
      <c r="G464" s="10">
        <v>1</v>
      </c>
      <c r="H464" s="13">
        <v>638475</v>
      </c>
      <c r="I464" s="13">
        <f t="shared" si="14"/>
        <v>638475</v>
      </c>
      <c r="J464" s="29">
        <v>106864.30763923538</v>
      </c>
      <c r="K464" s="58">
        <f t="shared" si="15"/>
        <v>5.9746328227328824</v>
      </c>
      <c r="L464" s="56"/>
      <c r="M464" s="49">
        <v>554.65298208047943</v>
      </c>
      <c r="N464" s="49">
        <f>M464*I464</f>
        <v>354132062.73383409</v>
      </c>
    </row>
    <row r="465" spans="2:14">
      <c r="B465" s="2">
        <v>2025</v>
      </c>
      <c r="C465" s="2" t="s">
        <v>26</v>
      </c>
      <c r="D465" s="12" t="s">
        <v>15</v>
      </c>
      <c r="E465" s="12" t="s">
        <v>15</v>
      </c>
      <c r="F465" t="s">
        <v>32</v>
      </c>
      <c r="G465" s="3">
        <v>0.14640078684071758</v>
      </c>
      <c r="H465" s="13">
        <v>624359</v>
      </c>
      <c r="I465" s="13">
        <f t="shared" si="14"/>
        <v>91406.648871083584</v>
      </c>
      <c r="J465" s="29">
        <v>18958.095500000003</v>
      </c>
      <c r="K465" s="58">
        <f t="shared" si="15"/>
        <v>4.8215100968915134</v>
      </c>
      <c r="L465" s="56"/>
      <c r="M465" s="49"/>
      <c r="N465" s="49">
        <f>M465*I465</f>
        <v>0</v>
      </c>
    </row>
    <row r="466" spans="2:14">
      <c r="B466" s="2">
        <v>2025</v>
      </c>
      <c r="C466" s="2" t="s">
        <v>26</v>
      </c>
      <c r="D466" s="12" t="s">
        <v>15</v>
      </c>
      <c r="E466" s="12" t="s">
        <v>15</v>
      </c>
      <c r="F466" t="s">
        <v>33</v>
      </c>
      <c r="G466" s="3">
        <v>0.10736057701652624</v>
      </c>
      <c r="H466" s="13">
        <v>624359</v>
      </c>
      <c r="I466" s="13">
        <f t="shared" si="14"/>
        <v>67031.542505461301</v>
      </c>
      <c r="J466" s="29">
        <v>14676.57656566667</v>
      </c>
      <c r="K466" s="58">
        <f t="shared" si="15"/>
        <v>4.5672464696072295</v>
      </c>
      <c r="L466" s="56"/>
      <c r="M466" s="49"/>
      <c r="N466" s="49">
        <f>M466*I466</f>
        <v>0</v>
      </c>
    </row>
    <row r="467" spans="2:14">
      <c r="B467" s="2">
        <v>2025</v>
      </c>
      <c r="C467" s="2" t="s">
        <v>26</v>
      </c>
      <c r="D467" s="12" t="s">
        <v>15</v>
      </c>
      <c r="E467" s="12" t="s">
        <v>15</v>
      </c>
      <c r="F467" t="s">
        <v>34</v>
      </c>
      <c r="G467" s="3">
        <v>0.37088199332981786</v>
      </c>
      <c r="H467" s="13">
        <v>624359</v>
      </c>
      <c r="I467" s="13">
        <f t="shared" si="14"/>
        <v>231563.51047341176</v>
      </c>
      <c r="J467" s="29">
        <v>20553.463486842109</v>
      </c>
      <c r="K467" s="58">
        <f t="shared" si="15"/>
        <v>11.266398513401588</v>
      </c>
      <c r="L467" s="56"/>
      <c r="M467" s="49"/>
      <c r="N467" s="49">
        <f>M467*I467</f>
        <v>0</v>
      </c>
    </row>
    <row r="468" spans="2:14">
      <c r="B468" s="2">
        <v>2025</v>
      </c>
      <c r="C468" s="2" t="s">
        <v>26</v>
      </c>
      <c r="D468" s="12" t="s">
        <v>15</v>
      </c>
      <c r="E468" s="12" t="s">
        <v>15</v>
      </c>
      <c r="F468" t="s">
        <v>35</v>
      </c>
      <c r="G468" s="3">
        <v>9.7600524560478394E-2</v>
      </c>
      <c r="H468" s="13">
        <v>624359</v>
      </c>
      <c r="I468" s="13">
        <f t="shared" si="14"/>
        <v>60937.76591405573</v>
      </c>
      <c r="J468" s="29">
        <v>21520.571935238164</v>
      </c>
      <c r="K468" s="58">
        <f t="shared" si="15"/>
        <v>2.8316053168770647</v>
      </c>
      <c r="L468" s="56"/>
      <c r="M468" s="49"/>
      <c r="N468" s="49">
        <f>M468*I468</f>
        <v>0</v>
      </c>
    </row>
    <row r="469" spans="2:14">
      <c r="B469" s="2">
        <v>2025</v>
      </c>
      <c r="C469" s="2" t="s">
        <v>26</v>
      </c>
      <c r="D469" s="12" t="s">
        <v>15</v>
      </c>
      <c r="E469" s="12" t="s">
        <v>15</v>
      </c>
      <c r="F469" t="s">
        <v>36</v>
      </c>
      <c r="G469" s="3">
        <v>0.11712062947257405</v>
      </c>
      <c r="H469" s="13">
        <v>624359</v>
      </c>
      <c r="I469" s="13">
        <f t="shared" si="14"/>
        <v>73125.319096866864</v>
      </c>
      <c r="J469" s="29">
        <v>10997.19896666655</v>
      </c>
      <c r="K469" s="58">
        <f t="shared" si="15"/>
        <v>6.6494494933224315</v>
      </c>
      <c r="L469" s="56"/>
      <c r="M469" s="49"/>
      <c r="N469" s="49">
        <f>M469*I469</f>
        <v>0</v>
      </c>
    </row>
    <row r="470" spans="2:14">
      <c r="B470" s="2">
        <v>2025</v>
      </c>
      <c r="C470" s="2" t="s">
        <v>26</v>
      </c>
      <c r="D470" s="12" t="s">
        <v>15</v>
      </c>
      <c r="E470" s="12" t="s">
        <v>15</v>
      </c>
      <c r="F470" t="s">
        <v>37</v>
      </c>
      <c r="G470" s="3">
        <v>0.13664073438466978</v>
      </c>
      <c r="H470" s="13">
        <v>624359</v>
      </c>
      <c r="I470" s="13">
        <f t="shared" si="14"/>
        <v>85312.872279678035</v>
      </c>
      <c r="J470" s="29">
        <v>24588.744119047875</v>
      </c>
      <c r="K470" s="58">
        <f t="shared" si="15"/>
        <v>3.4695904706084484</v>
      </c>
      <c r="L470" s="56"/>
      <c r="M470" s="49"/>
      <c r="N470" s="49">
        <f>M470*I470</f>
        <v>0</v>
      </c>
    </row>
    <row r="471" spans="2:14">
      <c r="B471" s="2">
        <v>2025</v>
      </c>
      <c r="C471" s="2" t="s">
        <v>26</v>
      </c>
      <c r="D471" s="12" t="s">
        <v>15</v>
      </c>
      <c r="E471" s="12" t="s">
        <v>15</v>
      </c>
      <c r="F471" s="9" t="s">
        <v>38</v>
      </c>
      <c r="G471" s="10">
        <v>1</v>
      </c>
      <c r="H471" s="13">
        <v>624359</v>
      </c>
      <c r="I471" s="13">
        <f t="shared" si="14"/>
        <v>624359</v>
      </c>
      <c r="J471" s="29">
        <v>111294.65057346137</v>
      </c>
      <c r="K471" s="58">
        <f t="shared" si="15"/>
        <v>5.609964151762032</v>
      </c>
      <c r="L471" s="56"/>
      <c r="M471" s="49"/>
      <c r="N471" s="49">
        <f>M471*I471</f>
        <v>0</v>
      </c>
    </row>
    <row r="472" spans="2:14">
      <c r="B472" s="2">
        <v>2025</v>
      </c>
      <c r="C472" s="2" t="s">
        <v>27</v>
      </c>
      <c r="D472" s="12" t="s">
        <v>15</v>
      </c>
      <c r="E472" s="12" t="s">
        <v>15</v>
      </c>
      <c r="F472" t="s">
        <v>32</v>
      </c>
      <c r="G472" s="3">
        <v>0.14640078684071758</v>
      </c>
      <c r="H472" s="13">
        <v>639189</v>
      </c>
      <c r="I472" s="13">
        <f t="shared" si="14"/>
        <v>93577.772539931437</v>
      </c>
      <c r="J472" s="29">
        <v>18107.940500000001</v>
      </c>
      <c r="K472" s="58">
        <f t="shared" si="15"/>
        <v>5.16777557005621</v>
      </c>
      <c r="L472" s="56"/>
      <c r="M472" s="49"/>
      <c r="N472" s="49">
        <f>M472*I472</f>
        <v>0</v>
      </c>
    </row>
    <row r="473" spans="2:14">
      <c r="B473" s="2">
        <v>2025</v>
      </c>
      <c r="C473" s="2" t="s">
        <v>27</v>
      </c>
      <c r="D473" s="12" t="s">
        <v>15</v>
      </c>
      <c r="E473" s="12" t="s">
        <v>15</v>
      </c>
      <c r="F473" t="s">
        <v>33</v>
      </c>
      <c r="G473" s="3">
        <v>0.10736057701652624</v>
      </c>
      <c r="H473" s="13">
        <v>639189</v>
      </c>
      <c r="I473" s="13">
        <f t="shared" si="14"/>
        <v>68623.699862616384</v>
      </c>
      <c r="J473" s="29">
        <v>15898.292227571432</v>
      </c>
      <c r="K473" s="58">
        <f t="shared" si="15"/>
        <v>4.3164195801865128</v>
      </c>
      <c r="L473" s="56"/>
      <c r="M473" s="49"/>
      <c r="N473" s="49">
        <f>M473*I473</f>
        <v>0</v>
      </c>
    </row>
    <row r="474" spans="2:14">
      <c r="B474" s="2">
        <v>2025</v>
      </c>
      <c r="C474" s="2" t="s">
        <v>27</v>
      </c>
      <c r="D474" s="12" t="s">
        <v>15</v>
      </c>
      <c r="E474" s="12" t="s">
        <v>15</v>
      </c>
      <c r="F474" t="s">
        <v>34</v>
      </c>
      <c r="G474" s="3">
        <v>0.37088199332981786</v>
      </c>
      <c r="H474" s="13">
        <v>639189</v>
      </c>
      <c r="I474" s="13">
        <f t="shared" si="14"/>
        <v>237063.69043449295</v>
      </c>
      <c r="J474" s="29">
        <v>21413.652631578949</v>
      </c>
      <c r="K474" s="58">
        <f t="shared" si="15"/>
        <v>11.070679744047613</v>
      </c>
      <c r="L474" s="56"/>
      <c r="M474" s="49"/>
      <c r="N474" s="49">
        <f>M474*I474</f>
        <v>0</v>
      </c>
    </row>
    <row r="475" spans="2:14">
      <c r="B475" s="2">
        <v>2025</v>
      </c>
      <c r="C475" s="2" t="s">
        <v>27</v>
      </c>
      <c r="D475" s="12" t="s">
        <v>15</v>
      </c>
      <c r="E475" s="12" t="s">
        <v>15</v>
      </c>
      <c r="F475" t="s">
        <v>35</v>
      </c>
      <c r="G475" s="3">
        <v>9.7600524560478394E-2</v>
      </c>
      <c r="H475" s="13">
        <v>639189</v>
      </c>
      <c r="I475" s="13">
        <f t="shared" si="14"/>
        <v>62385.181693287625</v>
      </c>
      <c r="J475" s="29">
        <v>20701.631654285604</v>
      </c>
      <c r="K475" s="58">
        <f t="shared" si="15"/>
        <v>3.0135393545355051</v>
      </c>
      <c r="L475" s="56"/>
      <c r="M475" s="49"/>
      <c r="N475" s="49">
        <f>M475*I475</f>
        <v>0</v>
      </c>
    </row>
    <row r="476" spans="2:14">
      <c r="B476" s="2">
        <v>2025</v>
      </c>
      <c r="C476" s="2" t="s">
        <v>27</v>
      </c>
      <c r="D476" s="12" t="s">
        <v>15</v>
      </c>
      <c r="E476" s="12" t="s">
        <v>15</v>
      </c>
      <c r="F476" t="s">
        <v>36</v>
      </c>
      <c r="G476" s="3">
        <v>0.11712062947257405</v>
      </c>
      <c r="H476" s="13">
        <v>639189</v>
      </c>
      <c r="I476" s="13">
        <f t="shared" si="14"/>
        <v>74862.218031945144</v>
      </c>
      <c r="J476" s="29">
        <v>11431.700357142739</v>
      </c>
      <c r="K476" s="58">
        <f t="shared" si="15"/>
        <v>6.5486511798894238</v>
      </c>
      <c r="L476" s="56"/>
      <c r="M476" s="49"/>
      <c r="N476" s="49">
        <f>M476*I476</f>
        <v>0</v>
      </c>
    </row>
    <row r="477" spans="2:14">
      <c r="B477" s="2">
        <v>2025</v>
      </c>
      <c r="C477" s="2" t="s">
        <v>27</v>
      </c>
      <c r="D477" s="12" t="s">
        <v>15</v>
      </c>
      <c r="E477" s="12" t="s">
        <v>15</v>
      </c>
      <c r="F477" t="s">
        <v>37</v>
      </c>
      <c r="G477" s="3">
        <v>0.13664073438466978</v>
      </c>
      <c r="H477" s="13">
        <v>639189</v>
      </c>
      <c r="I477" s="13">
        <f t="shared" si="14"/>
        <v>87339.254370602692</v>
      </c>
      <c r="J477" s="29">
        <v>24482.512023809693</v>
      </c>
      <c r="K477" s="58">
        <f t="shared" si="15"/>
        <v>3.5674139273643024</v>
      </c>
      <c r="L477" s="56"/>
      <c r="M477" s="49"/>
      <c r="N477" s="49">
        <f>M477*I477</f>
        <v>0</v>
      </c>
    </row>
    <row r="478" spans="2:14">
      <c r="B478" s="2">
        <v>2025</v>
      </c>
      <c r="C478" s="2" t="s">
        <v>27</v>
      </c>
      <c r="D478" s="12" t="s">
        <v>15</v>
      </c>
      <c r="E478" s="12" t="s">
        <v>15</v>
      </c>
      <c r="F478" s="9" t="s">
        <v>38</v>
      </c>
      <c r="G478" s="10">
        <v>1</v>
      </c>
      <c r="H478" s="13">
        <v>639189</v>
      </c>
      <c r="I478" s="13">
        <f t="shared" si="14"/>
        <v>639189</v>
      </c>
      <c r="J478" s="29">
        <v>112035.72939438841</v>
      </c>
      <c r="K478" s="58">
        <f t="shared" si="15"/>
        <v>5.7052246051786346</v>
      </c>
      <c r="L478" s="56"/>
      <c r="M478" s="49"/>
      <c r="N478" s="49">
        <f>M478*I478</f>
        <v>0</v>
      </c>
    </row>
    <row r="479" spans="2:14">
      <c r="B479" s="2">
        <v>2025</v>
      </c>
      <c r="C479" s="2" t="s">
        <v>28</v>
      </c>
      <c r="D479" s="12" t="s">
        <v>15</v>
      </c>
      <c r="E479" s="12" t="s">
        <v>15</v>
      </c>
      <c r="F479" t="s">
        <v>32</v>
      </c>
      <c r="G479" s="3">
        <v>0.14640078684071758</v>
      </c>
      <c r="H479" s="13">
        <v>623700</v>
      </c>
      <c r="I479" s="13">
        <f t="shared" si="14"/>
        <v>91310.170752555554</v>
      </c>
      <c r="J479" s="29">
        <v>18319.306</v>
      </c>
      <c r="K479" s="58">
        <f t="shared" si="15"/>
        <v>4.9843684445554626</v>
      </c>
      <c r="L479" s="56"/>
      <c r="M479" s="49"/>
      <c r="N479" s="49">
        <f>M479*I479</f>
        <v>0</v>
      </c>
    </row>
    <row r="480" spans="2:14">
      <c r="B480" s="2">
        <v>2025</v>
      </c>
      <c r="C480" s="2" t="s">
        <v>28</v>
      </c>
      <c r="D480" s="12" t="s">
        <v>15</v>
      </c>
      <c r="E480" s="12" t="s">
        <v>15</v>
      </c>
      <c r="F480" t="s">
        <v>33</v>
      </c>
      <c r="G480" s="3">
        <v>0.10736057701652624</v>
      </c>
      <c r="H480" s="13">
        <v>623700</v>
      </c>
      <c r="I480" s="13">
        <f t="shared" si="14"/>
        <v>66960.791885207407</v>
      </c>
      <c r="J480" s="29">
        <v>15852.373954380953</v>
      </c>
      <c r="K480" s="58">
        <f t="shared" si="15"/>
        <v>4.2240229809051506</v>
      </c>
      <c r="L480" s="56"/>
      <c r="M480" s="49"/>
      <c r="N480" s="49">
        <f>M480*I480</f>
        <v>0</v>
      </c>
    </row>
    <row r="481" spans="2:14">
      <c r="B481" s="2">
        <v>2025</v>
      </c>
      <c r="C481" s="2" t="s">
        <v>28</v>
      </c>
      <c r="D481" s="12" t="s">
        <v>15</v>
      </c>
      <c r="E481" s="12" t="s">
        <v>15</v>
      </c>
      <c r="F481" t="s">
        <v>34</v>
      </c>
      <c r="G481" s="3">
        <v>0.37088199332981786</v>
      </c>
      <c r="H481" s="13">
        <v>623700</v>
      </c>
      <c r="I481" s="13">
        <f t="shared" si="14"/>
        <v>231319.0992398074</v>
      </c>
      <c r="J481" s="29">
        <v>21033.867105263162</v>
      </c>
      <c r="K481" s="58">
        <f t="shared" si="15"/>
        <v>10.997459386910645</v>
      </c>
      <c r="L481" s="56"/>
      <c r="M481" s="49"/>
      <c r="N481" s="49">
        <f>M481*I481</f>
        <v>0</v>
      </c>
    </row>
    <row r="482" spans="2:14">
      <c r="B482" s="2">
        <v>2025</v>
      </c>
      <c r="C482" s="2" t="s">
        <v>28</v>
      </c>
      <c r="D482" s="12" t="s">
        <v>15</v>
      </c>
      <c r="E482" s="12" t="s">
        <v>15</v>
      </c>
      <c r="F482" t="s">
        <v>35</v>
      </c>
      <c r="G482" s="3">
        <v>9.7600524560478394E-2</v>
      </c>
      <c r="H482" s="13">
        <v>623700</v>
      </c>
      <c r="I482" s="13">
        <f t="shared" si="14"/>
        <v>60873.447168370374</v>
      </c>
      <c r="J482" s="29">
        <v>20264.084683809608</v>
      </c>
      <c r="K482" s="58">
        <f t="shared" si="15"/>
        <v>3.0040067497845793</v>
      </c>
      <c r="L482" s="56"/>
      <c r="M482" s="49"/>
      <c r="N482" s="49">
        <f>M482*I482</f>
        <v>0</v>
      </c>
    </row>
    <row r="483" spans="2:14">
      <c r="B483" s="2">
        <v>2025</v>
      </c>
      <c r="C483" s="2" t="s">
        <v>28</v>
      </c>
      <c r="D483" s="12" t="s">
        <v>15</v>
      </c>
      <c r="E483" s="12" t="s">
        <v>15</v>
      </c>
      <c r="F483" t="s">
        <v>36</v>
      </c>
      <c r="G483" s="3">
        <v>0.11712062947257405</v>
      </c>
      <c r="H483" s="13">
        <v>623700</v>
      </c>
      <c r="I483" s="13">
        <f t="shared" si="14"/>
        <v>73048.13660204444</v>
      </c>
      <c r="J483" s="29">
        <v>10280.315833333236</v>
      </c>
      <c r="K483" s="58">
        <f t="shared" si="15"/>
        <v>7.1056315570763644</v>
      </c>
      <c r="L483" s="56"/>
      <c r="M483" s="49"/>
      <c r="N483" s="49">
        <f>M483*I483</f>
        <v>0</v>
      </c>
    </row>
    <row r="484" spans="2:14">
      <c r="B484" s="2">
        <v>2025</v>
      </c>
      <c r="C484" s="2" t="s">
        <v>28</v>
      </c>
      <c r="D484" s="12" t="s">
        <v>15</v>
      </c>
      <c r="E484" s="12" t="s">
        <v>15</v>
      </c>
      <c r="F484" t="s">
        <v>37</v>
      </c>
      <c r="G484" s="3">
        <v>0.13664073438466978</v>
      </c>
      <c r="H484" s="13">
        <v>623700</v>
      </c>
      <c r="I484" s="13">
        <f t="shared" si="14"/>
        <v>85222.82603571855</v>
      </c>
      <c r="J484" s="29">
        <v>25340.503809523962</v>
      </c>
      <c r="K484" s="58">
        <f t="shared" si="15"/>
        <v>3.3631070114591979</v>
      </c>
      <c r="L484" s="56"/>
      <c r="M484" s="49"/>
      <c r="N484" s="49">
        <f>M484*I484</f>
        <v>0</v>
      </c>
    </row>
    <row r="485" spans="2:14">
      <c r="B485" s="2">
        <v>2025</v>
      </c>
      <c r="C485" s="2" t="s">
        <v>28</v>
      </c>
      <c r="D485" s="12" t="s">
        <v>15</v>
      </c>
      <c r="E485" s="12" t="s">
        <v>15</v>
      </c>
      <c r="F485" s="9" t="s">
        <v>38</v>
      </c>
      <c r="G485" s="10">
        <v>1</v>
      </c>
      <c r="H485" s="13">
        <v>623700</v>
      </c>
      <c r="I485" s="13">
        <f t="shared" si="14"/>
        <v>623700</v>
      </c>
      <c r="J485" s="29">
        <v>111090.45138631092</v>
      </c>
      <c r="K485" s="58">
        <f t="shared" si="15"/>
        <v>5.6143439172023673</v>
      </c>
      <c r="L485" s="56"/>
      <c r="M485" s="49"/>
      <c r="N485" s="49">
        <f>M485*I485</f>
        <v>0</v>
      </c>
    </row>
    <row r="486" spans="2:14">
      <c r="B486" s="2">
        <v>2025</v>
      </c>
      <c r="C486" s="2" t="s">
        <v>29</v>
      </c>
      <c r="D486" s="12" t="s">
        <v>15</v>
      </c>
      <c r="E486" s="12" t="s">
        <v>15</v>
      </c>
      <c r="F486" t="s">
        <v>32</v>
      </c>
      <c r="G486" s="3">
        <v>0.14640078684071758</v>
      </c>
      <c r="H486" s="13">
        <v>599850</v>
      </c>
      <c r="I486" s="13">
        <f t="shared" si="14"/>
        <v>87818.511986404439</v>
      </c>
      <c r="J486" s="29">
        <v>14701.905500000001</v>
      </c>
      <c r="K486" s="58">
        <f t="shared" si="15"/>
        <v>5.9732741437090882</v>
      </c>
      <c r="L486" s="56"/>
      <c r="M486" s="49"/>
      <c r="N486" s="49">
        <f>M486*I486</f>
        <v>0</v>
      </c>
    </row>
    <row r="487" spans="2:14">
      <c r="B487" s="2">
        <v>2025</v>
      </c>
      <c r="C487" s="2" t="s">
        <v>29</v>
      </c>
      <c r="D487" s="12" t="s">
        <v>15</v>
      </c>
      <c r="E487" s="12" t="s">
        <v>15</v>
      </c>
      <c r="F487" t="s">
        <v>33</v>
      </c>
      <c r="G487" s="3">
        <v>0.10736057701652624</v>
      </c>
      <c r="H487" s="13">
        <v>599850</v>
      </c>
      <c r="I487" s="13">
        <f t="shared" si="14"/>
        <v>64400.242123363263</v>
      </c>
      <c r="J487" s="29">
        <v>15227.214219523812</v>
      </c>
      <c r="K487" s="58">
        <f t="shared" si="15"/>
        <v>4.2292858821669084</v>
      </c>
      <c r="L487" s="56"/>
      <c r="M487" s="49"/>
      <c r="N487" s="49">
        <f>M487*I487</f>
        <v>0</v>
      </c>
    </row>
    <row r="488" spans="2:14">
      <c r="B488" s="2">
        <v>2025</v>
      </c>
      <c r="C488" s="2" t="s">
        <v>29</v>
      </c>
      <c r="D488" s="12" t="s">
        <v>15</v>
      </c>
      <c r="E488" s="12" t="s">
        <v>15</v>
      </c>
      <c r="F488" t="s">
        <v>34</v>
      </c>
      <c r="G488" s="3">
        <v>0.37088199332981786</v>
      </c>
      <c r="H488" s="13">
        <v>599850</v>
      </c>
      <c r="I488" s="13">
        <f t="shared" si="14"/>
        <v>222473.56369889123</v>
      </c>
      <c r="J488" s="29">
        <v>18706.713157894737</v>
      </c>
      <c r="K488" s="58">
        <f t="shared" si="15"/>
        <v>11.892712622527243</v>
      </c>
      <c r="L488" s="56"/>
      <c r="M488" s="49"/>
      <c r="N488" s="49">
        <f>M488*I488</f>
        <v>0</v>
      </c>
    </row>
    <row r="489" spans="2:14">
      <c r="B489" s="2">
        <v>2025</v>
      </c>
      <c r="C489" s="2" t="s">
        <v>29</v>
      </c>
      <c r="D489" s="12" t="s">
        <v>15</v>
      </c>
      <c r="E489" s="12" t="s">
        <v>15</v>
      </c>
      <c r="F489" t="s">
        <v>35</v>
      </c>
      <c r="G489" s="3">
        <v>9.7600524560478394E-2</v>
      </c>
      <c r="H489" s="13">
        <v>599850</v>
      </c>
      <c r="I489" s="13">
        <f t="shared" si="14"/>
        <v>58545.674657602962</v>
      </c>
      <c r="J489" s="29">
        <v>15977.248383809196</v>
      </c>
      <c r="K489" s="58">
        <f t="shared" si="15"/>
        <v>3.6643152344637246</v>
      </c>
      <c r="L489" s="56"/>
      <c r="M489" s="49"/>
      <c r="N489" s="49">
        <f>M489*I489</f>
        <v>0</v>
      </c>
    </row>
    <row r="490" spans="2:14">
      <c r="B490" s="2">
        <v>2025</v>
      </c>
      <c r="C490" s="2" t="s">
        <v>29</v>
      </c>
      <c r="D490" s="12" t="s">
        <v>15</v>
      </c>
      <c r="E490" s="12" t="s">
        <v>15</v>
      </c>
      <c r="F490" t="s">
        <v>36</v>
      </c>
      <c r="G490" s="3">
        <v>0.11712062947257405</v>
      </c>
      <c r="H490" s="13">
        <v>599850</v>
      </c>
      <c r="I490" s="13">
        <f t="shared" si="14"/>
        <v>70254.809589123543</v>
      </c>
      <c r="J490" s="29">
        <v>11452.12839999988</v>
      </c>
      <c r="K490" s="58">
        <f t="shared" si="15"/>
        <v>6.1346508819377439</v>
      </c>
      <c r="L490" s="56"/>
      <c r="M490" s="49"/>
      <c r="N490" s="49">
        <f>M490*I490</f>
        <v>0</v>
      </c>
    </row>
    <row r="491" spans="2:14">
      <c r="B491" s="2">
        <v>2025</v>
      </c>
      <c r="C491" s="2" t="s">
        <v>29</v>
      </c>
      <c r="D491" s="12" t="s">
        <v>15</v>
      </c>
      <c r="E491" s="12" t="s">
        <v>15</v>
      </c>
      <c r="F491" t="s">
        <v>37</v>
      </c>
      <c r="G491" s="3">
        <v>0.13664073438466978</v>
      </c>
      <c r="H491" s="13">
        <v>599850</v>
      </c>
      <c r="I491" s="13">
        <f t="shared" si="14"/>
        <v>81963.944520644174</v>
      </c>
      <c r="J491" s="29">
        <v>21831.928857143055</v>
      </c>
      <c r="K491" s="58">
        <f t="shared" si="15"/>
        <v>3.7543152992561577</v>
      </c>
      <c r="L491" s="56"/>
      <c r="M491" s="49"/>
      <c r="N491" s="49">
        <f>M491*I491</f>
        <v>0</v>
      </c>
    </row>
    <row r="492" spans="2:14">
      <c r="B492" s="2">
        <v>2025</v>
      </c>
      <c r="C492" s="2" t="s">
        <v>29</v>
      </c>
      <c r="D492" s="12" t="s">
        <v>15</v>
      </c>
      <c r="E492" s="12" t="s">
        <v>15</v>
      </c>
      <c r="F492" s="9" t="s">
        <v>38</v>
      </c>
      <c r="G492" s="10">
        <v>1</v>
      </c>
      <c r="H492" s="13">
        <v>599850</v>
      </c>
      <c r="I492" s="13">
        <f t="shared" si="14"/>
        <v>599850</v>
      </c>
      <c r="J492" s="29">
        <v>97897.138518370673</v>
      </c>
      <c r="K492" s="58">
        <f t="shared" si="15"/>
        <v>6.1273496761852391</v>
      </c>
      <c r="L492" s="56"/>
      <c r="M492" s="49"/>
      <c r="N492" s="49">
        <f>M492*I492</f>
        <v>0</v>
      </c>
    </row>
    <row r="493" spans="2:14">
      <c r="B493" s="2">
        <v>2025</v>
      </c>
      <c r="C493" s="2" t="s">
        <v>30</v>
      </c>
      <c r="D493" s="12" t="s">
        <v>15</v>
      </c>
      <c r="E493" s="12" t="s">
        <v>15</v>
      </c>
      <c r="F493" t="s">
        <v>32</v>
      </c>
      <c r="G493" s="3">
        <v>0.14640078684071758</v>
      </c>
      <c r="H493" s="13">
        <v>547844</v>
      </c>
      <c r="I493" s="13">
        <f t="shared" si="14"/>
        <v>80204.792665966088</v>
      </c>
      <c r="J493" s="29">
        <v>12208.965850000001</v>
      </c>
      <c r="K493" s="58">
        <f t="shared" si="15"/>
        <v>6.5693354909307153</v>
      </c>
      <c r="L493" s="56"/>
      <c r="M493" s="49"/>
      <c r="N493" s="49">
        <f>M493*I493</f>
        <v>0</v>
      </c>
    </row>
    <row r="494" spans="2:14">
      <c r="B494" s="2">
        <v>2025</v>
      </c>
      <c r="C494" s="2" t="s">
        <v>30</v>
      </c>
      <c r="D494" s="12" t="s">
        <v>15</v>
      </c>
      <c r="E494" s="12" t="s">
        <v>15</v>
      </c>
      <c r="F494" t="s">
        <v>33</v>
      </c>
      <c r="G494" s="3">
        <v>0.10736057701652624</v>
      </c>
      <c r="H494" s="13">
        <v>547844</v>
      </c>
      <c r="I494" s="13">
        <f t="shared" si="14"/>
        <v>58816.847955041798</v>
      </c>
      <c r="J494" s="29">
        <v>11730.152563761905</v>
      </c>
      <c r="K494" s="58">
        <f t="shared" si="15"/>
        <v>5.0141588214926855</v>
      </c>
      <c r="L494" s="56"/>
      <c r="M494" s="49"/>
      <c r="N494" s="49">
        <f>M494*I494</f>
        <v>0</v>
      </c>
    </row>
    <row r="495" spans="2:14">
      <c r="B495" s="2">
        <v>2025</v>
      </c>
      <c r="C495" s="2" t="s">
        <v>30</v>
      </c>
      <c r="D495" s="12" t="s">
        <v>15</v>
      </c>
      <c r="E495" s="12" t="s">
        <v>15</v>
      </c>
      <c r="F495" t="s">
        <v>34</v>
      </c>
      <c r="G495" s="3">
        <v>0.37088199332981786</v>
      </c>
      <c r="H495" s="13">
        <v>547844</v>
      </c>
      <c r="I495" s="13">
        <f t="shared" si="14"/>
        <v>203185.47475378073</v>
      </c>
      <c r="J495" s="29">
        <v>14763.425986842107</v>
      </c>
      <c r="K495" s="58">
        <f t="shared" si="15"/>
        <v>13.762759059778512</v>
      </c>
      <c r="L495" s="56"/>
      <c r="M495" s="49"/>
      <c r="N495" s="49">
        <f>M495*I495</f>
        <v>0</v>
      </c>
    </row>
    <row r="496" spans="2:14">
      <c r="B496" s="2">
        <v>2025</v>
      </c>
      <c r="C496" s="2" t="s">
        <v>30</v>
      </c>
      <c r="D496" s="12" t="s">
        <v>15</v>
      </c>
      <c r="E496" s="12" t="s">
        <v>15</v>
      </c>
      <c r="F496" t="s">
        <v>35</v>
      </c>
      <c r="G496" s="3">
        <v>9.7600524560478394E-2</v>
      </c>
      <c r="H496" s="13">
        <v>547844</v>
      </c>
      <c r="I496" s="13">
        <f t="shared" si="14"/>
        <v>53469.861777310725</v>
      </c>
      <c r="J496" s="29">
        <v>14548.617586666373</v>
      </c>
      <c r="K496" s="58">
        <f t="shared" si="15"/>
        <v>3.6752537798721985</v>
      </c>
      <c r="L496" s="56"/>
      <c r="M496" s="49"/>
      <c r="N496" s="49">
        <f>M496*I496</f>
        <v>0</v>
      </c>
    </row>
    <row r="497" spans="2:14">
      <c r="B497" s="2">
        <v>2025</v>
      </c>
      <c r="C497" s="2" t="s">
        <v>30</v>
      </c>
      <c r="D497" s="12" t="s">
        <v>15</v>
      </c>
      <c r="E497" s="12" t="s">
        <v>15</v>
      </c>
      <c r="F497" t="s">
        <v>36</v>
      </c>
      <c r="G497" s="3">
        <v>0.11712062947257405</v>
      </c>
      <c r="H497" s="13">
        <v>547844</v>
      </c>
      <c r="I497" s="13">
        <f t="shared" si="14"/>
        <v>64163.834132772863</v>
      </c>
      <c r="J497" s="29">
        <v>9845.3211285713314</v>
      </c>
      <c r="K497" s="58">
        <f t="shared" si="15"/>
        <v>6.5171905816833187</v>
      </c>
      <c r="L497" s="56"/>
      <c r="M497" s="49"/>
      <c r="N497" s="49">
        <f>M497*I497</f>
        <v>0</v>
      </c>
    </row>
    <row r="498" spans="2:14">
      <c r="B498" s="2">
        <v>2025</v>
      </c>
      <c r="C498" s="2" t="s">
        <v>30</v>
      </c>
      <c r="D498" s="12" t="s">
        <v>15</v>
      </c>
      <c r="E498" s="12" t="s">
        <v>15</v>
      </c>
      <c r="F498" t="s">
        <v>37</v>
      </c>
      <c r="G498" s="3">
        <v>0.13664073438466978</v>
      </c>
      <c r="H498" s="13">
        <v>547844</v>
      </c>
      <c r="I498" s="13">
        <f t="shared" si="14"/>
        <v>74857.80648823503</v>
      </c>
      <c r="J498" s="29">
        <v>18366.569761904924</v>
      </c>
      <c r="K498" s="58">
        <f t="shared" si="15"/>
        <v>4.0757641442389296</v>
      </c>
      <c r="L498" s="56"/>
      <c r="M498" s="49"/>
      <c r="N498" s="49">
        <f>M498*I498</f>
        <v>0</v>
      </c>
    </row>
    <row r="499" spans="2:14">
      <c r="B499" s="2">
        <v>2025</v>
      </c>
      <c r="C499" s="2" t="s">
        <v>30</v>
      </c>
      <c r="D499" s="12" t="s">
        <v>15</v>
      </c>
      <c r="E499" s="12" t="s">
        <v>15</v>
      </c>
      <c r="F499" s="9" t="s">
        <v>38</v>
      </c>
      <c r="G499" s="10">
        <v>1</v>
      </c>
      <c r="H499" s="13">
        <v>547844</v>
      </c>
      <c r="I499" s="13">
        <f t="shared" si="14"/>
        <v>547844</v>
      </c>
      <c r="J499" s="29">
        <v>81463.052877746639</v>
      </c>
      <c r="K499" s="58">
        <f t="shared" si="15"/>
        <v>6.7250610018527208</v>
      </c>
      <c r="L499" s="56"/>
      <c r="M499" s="49"/>
      <c r="N499" s="49">
        <f>M499*I499</f>
        <v>0</v>
      </c>
    </row>
    <row r="500" spans="2:14">
      <c r="B500" s="2">
        <v>2025</v>
      </c>
      <c r="C500" s="2" t="s">
        <v>31</v>
      </c>
      <c r="D500" s="12" t="s">
        <v>15</v>
      </c>
      <c r="E500" s="12" t="s">
        <v>15</v>
      </c>
      <c r="F500" t="s">
        <v>32</v>
      </c>
      <c r="G500" s="3">
        <v>0.14640078684071758</v>
      </c>
      <c r="H500" s="13">
        <v>552690</v>
      </c>
      <c r="I500" s="13">
        <f t="shared" si="14"/>
        <v>80914.250878996201</v>
      </c>
      <c r="J500" s="29">
        <v>13210.79139</v>
      </c>
      <c r="K500" s="58">
        <f t="shared" si="15"/>
        <v>6.1248602366278222</v>
      </c>
      <c r="L500" s="56"/>
      <c r="M500" s="49"/>
      <c r="N500" s="49">
        <f>M500*I500</f>
        <v>0</v>
      </c>
    </row>
    <row r="501" spans="2:14">
      <c r="B501" s="2">
        <v>2025</v>
      </c>
      <c r="C501" s="2" t="s">
        <v>31</v>
      </c>
      <c r="D501" s="12" t="s">
        <v>15</v>
      </c>
      <c r="E501" s="12" t="s">
        <v>15</v>
      </c>
      <c r="F501" t="s">
        <v>33</v>
      </c>
      <c r="G501" s="3">
        <v>0.10736057701652624</v>
      </c>
      <c r="H501" s="13">
        <v>552690</v>
      </c>
      <c r="I501" s="13">
        <f t="shared" si="14"/>
        <v>59337.117311263886</v>
      </c>
      <c r="J501" s="29">
        <v>12674.127952666669</v>
      </c>
      <c r="K501" s="58">
        <f t="shared" si="15"/>
        <v>4.6817514808803242</v>
      </c>
      <c r="L501" s="56"/>
      <c r="M501" s="49"/>
      <c r="N501" s="49">
        <f>M501*I501</f>
        <v>0</v>
      </c>
    </row>
    <row r="502" spans="2:14">
      <c r="B502" s="2">
        <v>2025</v>
      </c>
      <c r="C502" s="2" t="s">
        <v>31</v>
      </c>
      <c r="D502" s="12" t="s">
        <v>15</v>
      </c>
      <c r="E502" s="12" t="s">
        <v>15</v>
      </c>
      <c r="F502" t="s">
        <v>34</v>
      </c>
      <c r="G502" s="3">
        <v>0.37088199332981786</v>
      </c>
      <c r="H502" s="13">
        <v>552690</v>
      </c>
      <c r="I502" s="13">
        <f t="shared" si="14"/>
        <v>204982.76889345705</v>
      </c>
      <c r="J502" s="29">
        <v>17260.463486842105</v>
      </c>
      <c r="K502" s="58">
        <f t="shared" si="15"/>
        <v>11.875855422406142</v>
      </c>
      <c r="L502" s="56"/>
      <c r="M502" s="49"/>
      <c r="N502" s="49">
        <f>M502*I502</f>
        <v>0</v>
      </c>
    </row>
    <row r="503" spans="2:14">
      <c r="B503" s="2">
        <v>2025</v>
      </c>
      <c r="C503" s="2" t="s">
        <v>31</v>
      </c>
      <c r="D503" s="12" t="s">
        <v>15</v>
      </c>
      <c r="E503" s="12" t="s">
        <v>15</v>
      </c>
      <c r="F503" t="s">
        <v>35</v>
      </c>
      <c r="G503" s="3">
        <v>9.7600524560478394E-2</v>
      </c>
      <c r="H503" s="13">
        <v>552690</v>
      </c>
      <c r="I503" s="13">
        <f t="shared" si="14"/>
        <v>53942.833919330806</v>
      </c>
      <c r="J503" s="29">
        <v>15661.825687618719</v>
      </c>
      <c r="K503" s="58">
        <f t="shared" si="15"/>
        <v>3.4442238724425791</v>
      </c>
      <c r="L503" s="56"/>
      <c r="M503" s="49"/>
      <c r="N503" s="49">
        <f>M503*I503</f>
        <v>0</v>
      </c>
    </row>
    <row r="504" spans="2:14">
      <c r="B504" s="2">
        <v>2025</v>
      </c>
      <c r="C504" s="2" t="s">
        <v>31</v>
      </c>
      <c r="D504" s="12" t="s">
        <v>15</v>
      </c>
      <c r="E504" s="12" t="s">
        <v>15</v>
      </c>
      <c r="F504" t="s">
        <v>36</v>
      </c>
      <c r="G504" s="3">
        <v>0.11712062947257405</v>
      </c>
      <c r="H504" s="13">
        <v>552690</v>
      </c>
      <c r="I504" s="13">
        <f t="shared" si="14"/>
        <v>64731.400703196952</v>
      </c>
      <c r="J504" s="29">
        <v>11803.93408428558</v>
      </c>
      <c r="K504" s="58">
        <f t="shared" si="15"/>
        <v>5.4838836138006739</v>
      </c>
      <c r="L504" s="56"/>
      <c r="M504" s="49"/>
      <c r="N504" s="49">
        <f>M504*I504</f>
        <v>0</v>
      </c>
    </row>
    <row r="505" spans="2:14">
      <c r="B505" s="2">
        <v>2025</v>
      </c>
      <c r="C505" s="2" t="s">
        <v>31</v>
      </c>
      <c r="D505" s="12" t="s">
        <v>15</v>
      </c>
      <c r="E505" s="12" t="s">
        <v>15</v>
      </c>
      <c r="F505" t="s">
        <v>37</v>
      </c>
      <c r="G505" s="3">
        <v>0.13664073438466978</v>
      </c>
      <c r="H505" s="13">
        <v>552690</v>
      </c>
      <c r="I505" s="13">
        <f t="shared" si="14"/>
        <v>75519.967487063142</v>
      </c>
      <c r="J505" s="29">
        <v>18463.321238095352</v>
      </c>
      <c r="K505" s="58">
        <f t="shared" si="15"/>
        <v>4.090269920194145</v>
      </c>
      <c r="L505" s="56"/>
      <c r="M505" s="49"/>
      <c r="N505" s="49">
        <f>M505*I505</f>
        <v>0</v>
      </c>
    </row>
    <row r="506" spans="2:14">
      <c r="B506" s="2">
        <v>2025</v>
      </c>
      <c r="C506" s="2" t="s">
        <v>31</v>
      </c>
      <c r="D506" s="12" t="s">
        <v>15</v>
      </c>
      <c r="E506" s="12" t="s">
        <v>15</v>
      </c>
      <c r="F506" s="9" t="s">
        <v>38</v>
      </c>
      <c r="G506" s="10">
        <v>1</v>
      </c>
      <c r="H506" s="13">
        <v>552690</v>
      </c>
      <c r="I506" s="13">
        <f t="shared" si="14"/>
        <v>552690</v>
      </c>
      <c r="J506" s="29">
        <v>89074.463839508418</v>
      </c>
      <c r="K506" s="58">
        <f t="shared" si="15"/>
        <v>6.2048086081755098</v>
      </c>
      <c r="L506" s="56"/>
      <c r="M506" s="49"/>
      <c r="N506" s="49">
        <f>M506*I506</f>
        <v>0</v>
      </c>
    </row>
    <row r="507" spans="2:14">
      <c r="B507" s="2">
        <v>2025</v>
      </c>
      <c r="C507" s="2" t="s">
        <v>14</v>
      </c>
      <c r="D507" s="12" t="s">
        <v>15</v>
      </c>
      <c r="E507" s="12" t="s">
        <v>15</v>
      </c>
      <c r="F507" t="s">
        <v>32</v>
      </c>
      <c r="G507" s="3">
        <v>0.14640078684071758</v>
      </c>
      <c r="H507" s="13">
        <v>586904.40000002238</v>
      </c>
      <c r="I507" s="13">
        <f t="shared" si="14"/>
        <v>85923.26596028253</v>
      </c>
      <c r="J507" s="29">
        <v>15871.184499999999</v>
      </c>
      <c r="K507" s="58">
        <f t="shared" si="15"/>
        <v>5.4137903796835412</v>
      </c>
      <c r="L507" s="56">
        <v>4.9865153007908036</v>
      </c>
      <c r="M507" s="49">
        <v>543.68362236110738</v>
      </c>
      <c r="N507" s="49">
        <f>M507*I507</f>
        <v>46715072.482383236</v>
      </c>
    </row>
    <row r="508" spans="2:14">
      <c r="B508" s="2">
        <v>2025</v>
      </c>
      <c r="C508" s="2" t="s">
        <v>14</v>
      </c>
      <c r="D508" s="12" t="s">
        <v>15</v>
      </c>
      <c r="E508" s="12" t="s">
        <v>15</v>
      </c>
      <c r="F508" t="s">
        <v>33</v>
      </c>
      <c r="G508" s="3">
        <v>0.10736057701652624</v>
      </c>
      <c r="H508" s="13">
        <v>586904.40000002238</v>
      </c>
      <c r="I508" s="13">
        <f t="shared" si="14"/>
        <v>63010.395037540526</v>
      </c>
      <c r="J508" s="29">
        <v>12441.877705285717</v>
      </c>
      <c r="K508" s="58">
        <f t="shared" si="15"/>
        <v>5.0643798733668346</v>
      </c>
      <c r="L508" s="56">
        <v>4.6450318291945889</v>
      </c>
      <c r="M508" s="49">
        <v>543.68362236110738</v>
      </c>
      <c r="N508" s="49">
        <f>M508*I508</f>
        <v>34257719.820414379</v>
      </c>
    </row>
    <row r="509" spans="2:14">
      <c r="B509" s="2">
        <v>2025</v>
      </c>
      <c r="C509" s="2" t="s">
        <v>14</v>
      </c>
      <c r="D509" s="12" t="s">
        <v>15</v>
      </c>
      <c r="E509" s="12" t="s">
        <v>15</v>
      </c>
      <c r="F509" t="s">
        <v>34</v>
      </c>
      <c r="G509" s="3">
        <v>0.37088199332981786</v>
      </c>
      <c r="H509" s="13">
        <v>586904.40000002238</v>
      </c>
      <c r="I509" s="13">
        <f t="shared" si="14"/>
        <v>217672.27376604904</v>
      </c>
      <c r="J509" s="29">
        <v>19118.678947368422</v>
      </c>
      <c r="K509" s="58">
        <f t="shared" si="15"/>
        <v>11.385319789368104</v>
      </c>
      <c r="L509" s="56">
        <v>11.534428287434828</v>
      </c>
      <c r="M509" s="49">
        <v>543.68362236110738</v>
      </c>
      <c r="N509" s="49">
        <f>M509*I509</f>
        <v>118344850.28870419</v>
      </c>
    </row>
    <row r="510" spans="2:14">
      <c r="B510" s="2">
        <v>2025</v>
      </c>
      <c r="C510" s="2" t="s">
        <v>14</v>
      </c>
      <c r="D510" s="12" t="s">
        <v>15</v>
      </c>
      <c r="E510" s="12" t="s">
        <v>15</v>
      </c>
      <c r="F510" t="s">
        <v>35</v>
      </c>
      <c r="G510" s="3">
        <v>9.7600524560478394E-2</v>
      </c>
      <c r="H510" s="13">
        <v>586904.40000002238</v>
      </c>
      <c r="I510" s="13">
        <f t="shared" si="14"/>
        <v>57282.177306855017</v>
      </c>
      <c r="J510" s="29">
        <v>18097.075981904134</v>
      </c>
      <c r="K510" s="58">
        <f t="shared" si="15"/>
        <v>3.1652725204963148</v>
      </c>
      <c r="L510" s="56">
        <v>3.0365752175805478</v>
      </c>
      <c r="M510" s="49">
        <v>543.68362236110738</v>
      </c>
      <c r="N510" s="49">
        <f>M510*I510</f>
        <v>31143381.654922158</v>
      </c>
    </row>
    <row r="511" spans="2:14">
      <c r="B511" s="2">
        <v>2025</v>
      </c>
      <c r="C511" s="2" t="s">
        <v>14</v>
      </c>
      <c r="D511" s="12" t="s">
        <v>15</v>
      </c>
      <c r="E511" s="12" t="s">
        <v>15</v>
      </c>
      <c r="F511" t="s">
        <v>36</v>
      </c>
      <c r="G511" s="3">
        <v>0.11712062947257405</v>
      </c>
      <c r="H511" s="13">
        <v>586904.40000002238</v>
      </c>
      <c r="I511" s="13">
        <f t="shared" si="14"/>
        <v>68738.612768226012</v>
      </c>
      <c r="J511" s="29">
        <v>8193.5493619047011</v>
      </c>
      <c r="K511" s="58">
        <f t="shared" si="15"/>
        <v>8.389357253136362</v>
      </c>
      <c r="L511" s="56">
        <v>7.167127279604915</v>
      </c>
      <c r="M511" s="49">
        <v>543.68362236110738</v>
      </c>
      <c r="N511" s="49">
        <f>M511*I511</f>
        <v>37372057.985906586</v>
      </c>
    </row>
    <row r="512" spans="2:14">
      <c r="B512" s="2">
        <v>2025</v>
      </c>
      <c r="C512" s="2" t="s">
        <v>14</v>
      </c>
      <c r="D512" s="12" t="s">
        <v>15</v>
      </c>
      <c r="E512" s="12" t="s">
        <v>15</v>
      </c>
      <c r="F512" t="s">
        <v>37</v>
      </c>
      <c r="G512" s="3">
        <v>0.13664073438466978</v>
      </c>
      <c r="H512" s="13">
        <v>586904.40000002238</v>
      </c>
      <c r="I512" s="13">
        <f t="shared" si="14"/>
        <v>80195.048229597043</v>
      </c>
      <c r="J512" s="29">
        <v>22364.660819047927</v>
      </c>
      <c r="K512" s="58">
        <f t="shared" si="15"/>
        <v>3.585793179626275</v>
      </c>
      <c r="L512" s="56">
        <v>3.7950000769594139</v>
      </c>
      <c r="M512" s="49">
        <v>543.68362236110738</v>
      </c>
      <c r="N512" s="49">
        <f>M512*I512</f>
        <v>43600734.316891029</v>
      </c>
    </row>
    <row r="513" spans="2:14">
      <c r="B513" s="2">
        <v>2025</v>
      </c>
      <c r="C513" s="2" t="s">
        <v>14</v>
      </c>
      <c r="D513" s="12" t="s">
        <v>15</v>
      </c>
      <c r="E513" s="12" t="s">
        <v>15</v>
      </c>
      <c r="F513" s="9" t="s">
        <v>38</v>
      </c>
      <c r="G513" s="10">
        <v>1</v>
      </c>
      <c r="H513" s="13">
        <v>586904.40000002238</v>
      </c>
      <c r="I513" s="13">
        <f t="shared" si="14"/>
        <v>586904.40000002238</v>
      </c>
      <c r="J513" s="29">
        <v>96087.027315510903</v>
      </c>
      <c r="K513" s="58">
        <f t="shared" si="15"/>
        <v>6.1080503414146206</v>
      </c>
      <c r="L513" s="56">
        <v>5.8607796652608499</v>
      </c>
      <c r="M513" s="49">
        <v>543.68362236110738</v>
      </c>
      <c r="N513" s="49">
        <f>M513*I513</f>
        <v>319090310.1716845</v>
      </c>
    </row>
    <row r="514" spans="2:14">
      <c r="B514" s="2">
        <v>2025</v>
      </c>
      <c r="C514" s="2" t="s">
        <v>21</v>
      </c>
      <c r="D514" s="12" t="s">
        <v>15</v>
      </c>
      <c r="E514" s="12" t="s">
        <v>15</v>
      </c>
      <c r="F514" t="s">
        <v>32</v>
      </c>
      <c r="G514" s="3">
        <v>0.14640078684071758</v>
      </c>
      <c r="H514" s="13">
        <v>522072.00000001979</v>
      </c>
      <c r="I514" s="13">
        <f t="shared" si="14"/>
        <v>76431.751587510007</v>
      </c>
      <c r="J514" s="29">
        <v>12651.497700000002</v>
      </c>
      <c r="K514" s="58">
        <f t="shared" si="15"/>
        <v>6.0413204349323797</v>
      </c>
      <c r="L514" s="56">
        <v>4.9865153007908036</v>
      </c>
      <c r="M514" s="49">
        <v>535.09081792340214</v>
      </c>
      <c r="N514" s="49">
        <f>M514*I514</f>
        <v>40897928.47227902</v>
      </c>
    </row>
    <row r="515" spans="2:14">
      <c r="B515" s="2">
        <v>2025</v>
      </c>
      <c r="C515" s="2" t="s">
        <v>21</v>
      </c>
      <c r="D515" s="12" t="s">
        <v>15</v>
      </c>
      <c r="E515" s="12" t="s">
        <v>15</v>
      </c>
      <c r="F515" t="s">
        <v>33</v>
      </c>
      <c r="G515" s="3">
        <v>0.10736057701652624</v>
      </c>
      <c r="H515" s="13">
        <v>522072.00000001979</v>
      </c>
      <c r="I515" s="13">
        <f t="shared" ref="I515:I578" si="16">G515*H515</f>
        <v>56049.95116417401</v>
      </c>
      <c r="J515" s="29">
        <v>9517.1125077142879</v>
      </c>
      <c r="K515" s="58">
        <f t="shared" si="15"/>
        <v>5.8893862102335754</v>
      </c>
      <c r="L515" s="56">
        <v>4.6450318291945889</v>
      </c>
      <c r="M515" s="49">
        <v>535.09081792340214</v>
      </c>
      <c r="N515" s="49">
        <f>M515*I515</f>
        <v>29991814.213004619</v>
      </c>
    </row>
    <row r="516" spans="2:14">
      <c r="B516" s="2">
        <v>2025</v>
      </c>
      <c r="C516" s="2" t="s">
        <v>21</v>
      </c>
      <c r="D516" s="12" t="s">
        <v>15</v>
      </c>
      <c r="E516" s="12" t="s">
        <v>15</v>
      </c>
      <c r="F516" t="s">
        <v>34</v>
      </c>
      <c r="G516" s="3">
        <v>0.37088199332981786</v>
      </c>
      <c r="H516" s="13">
        <v>522072.00000001979</v>
      </c>
      <c r="I516" s="13">
        <f t="shared" si="16"/>
        <v>193627.10402169201</v>
      </c>
      <c r="J516" s="29">
        <v>13220.416447368423</v>
      </c>
      <c r="K516" s="58">
        <f t="shared" ref="K516:K569" si="17">IFERROR(I516/J516,0)</f>
        <v>14.646066921759811</v>
      </c>
      <c r="L516" s="56">
        <v>11.534428287434828</v>
      </c>
      <c r="M516" s="49">
        <v>535.09081792340214</v>
      </c>
      <c r="N516" s="49">
        <f>M516*I516</f>
        <v>103608085.46310684</v>
      </c>
    </row>
    <row r="517" spans="2:14">
      <c r="B517" s="2">
        <v>2025</v>
      </c>
      <c r="C517" s="2" t="s">
        <v>21</v>
      </c>
      <c r="D517" s="12" t="s">
        <v>15</v>
      </c>
      <c r="E517" s="12" t="s">
        <v>15</v>
      </c>
      <c r="F517" t="s">
        <v>35</v>
      </c>
      <c r="G517" s="3">
        <v>9.7600524560478394E-2</v>
      </c>
      <c r="H517" s="13">
        <v>522072.00000001979</v>
      </c>
      <c r="I517" s="13">
        <f t="shared" si="16"/>
        <v>50954.501058340007</v>
      </c>
      <c r="J517" s="29">
        <v>13987.940345237672</v>
      </c>
      <c r="K517" s="58">
        <f t="shared" si="17"/>
        <v>3.6427450933251908</v>
      </c>
      <c r="L517" s="56">
        <v>3.0365752175805478</v>
      </c>
      <c r="M517" s="49">
        <v>535.09081792340214</v>
      </c>
      <c r="N517" s="49">
        <f>M517*I517</f>
        <v>27265285.648186013</v>
      </c>
    </row>
    <row r="518" spans="2:14">
      <c r="B518" s="2">
        <v>2025</v>
      </c>
      <c r="C518" s="2" t="s">
        <v>21</v>
      </c>
      <c r="D518" s="12" t="s">
        <v>15</v>
      </c>
      <c r="E518" s="12" t="s">
        <v>15</v>
      </c>
      <c r="F518" t="s">
        <v>36</v>
      </c>
      <c r="G518" s="3">
        <v>0.11712062947257405</v>
      </c>
      <c r="H518" s="13">
        <v>522072.00000001979</v>
      </c>
      <c r="I518" s="13">
        <f t="shared" si="16"/>
        <v>61145.401270007998</v>
      </c>
      <c r="J518" s="29">
        <v>5864.4973428571175</v>
      </c>
      <c r="K518" s="58">
        <f t="shared" si="17"/>
        <v>10.426366949331525</v>
      </c>
      <c r="L518" s="56">
        <v>7.167127279604915</v>
      </c>
      <c r="M518" s="49">
        <v>535.09081792340214</v>
      </c>
      <c r="N518" s="49">
        <f>M518*I518</f>
        <v>32718342.777823213</v>
      </c>
    </row>
    <row r="519" spans="2:14">
      <c r="B519" s="2">
        <v>2025</v>
      </c>
      <c r="C519" s="2" t="s">
        <v>21</v>
      </c>
      <c r="D519" s="12" t="s">
        <v>15</v>
      </c>
      <c r="E519" s="12" t="s">
        <v>15</v>
      </c>
      <c r="F519" t="s">
        <v>37</v>
      </c>
      <c r="G519" s="3">
        <v>0.13664073438466978</v>
      </c>
      <c r="H519" s="13">
        <v>522072.00000001979</v>
      </c>
      <c r="I519" s="13">
        <f t="shared" si="16"/>
        <v>71336.301481676026</v>
      </c>
      <c r="J519" s="29">
        <v>13385.377500000095</v>
      </c>
      <c r="K519" s="58">
        <f t="shared" si="17"/>
        <v>5.3294202185687718</v>
      </c>
      <c r="L519" s="56">
        <v>3.7950000769594139</v>
      </c>
      <c r="M519" s="49">
        <v>535.09081792340214</v>
      </c>
      <c r="N519" s="49">
        <f>M519*I519</f>
        <v>38171399.907460429</v>
      </c>
    </row>
    <row r="520" spans="2:14">
      <c r="B520" s="2">
        <v>2025</v>
      </c>
      <c r="C520" s="2" t="s">
        <v>21</v>
      </c>
      <c r="D520" s="12" t="s">
        <v>15</v>
      </c>
      <c r="E520" s="12" t="s">
        <v>15</v>
      </c>
      <c r="F520" s="9" t="s">
        <v>38</v>
      </c>
      <c r="G520" s="10">
        <v>1</v>
      </c>
      <c r="H520" s="13">
        <v>522072.00000001979</v>
      </c>
      <c r="I520" s="13">
        <f t="shared" si="16"/>
        <v>522072.00000001979</v>
      </c>
      <c r="J520" s="29">
        <v>68626.841843177594</v>
      </c>
      <c r="K520" s="58">
        <f t="shared" si="17"/>
        <v>7.6074023804422026</v>
      </c>
      <c r="L520" s="56">
        <v>5.8607796652608499</v>
      </c>
      <c r="M520" s="49">
        <v>535.09081792340214</v>
      </c>
      <c r="N520" s="49">
        <f>M520*I520</f>
        <v>279355933.49491698</v>
      </c>
    </row>
    <row r="521" spans="2:14">
      <c r="B521" s="2">
        <v>2025</v>
      </c>
      <c r="C521" s="2" t="s">
        <v>22</v>
      </c>
      <c r="D521" s="12" t="s">
        <v>15</v>
      </c>
      <c r="E521" s="12" t="s">
        <v>15</v>
      </c>
      <c r="F521" t="s">
        <v>32</v>
      </c>
      <c r="G521" s="3">
        <v>0.14640078684071758</v>
      </c>
      <c r="H521" s="13">
        <v>336474</v>
      </c>
      <c r="I521" s="13">
        <f t="shared" si="16"/>
        <v>49260.058351443608</v>
      </c>
      <c r="J521" s="29">
        <v>11021.077300000001</v>
      </c>
      <c r="K521" s="58">
        <f t="shared" si="17"/>
        <v>4.4696227973506373</v>
      </c>
      <c r="L521" s="56">
        <v>4.9865153007908036</v>
      </c>
      <c r="M521" s="49">
        <v>532.25135059052343</v>
      </c>
      <c r="N521" s="49">
        <f>M521*I521</f>
        <v>26218732.587723855</v>
      </c>
    </row>
    <row r="522" spans="2:14">
      <c r="B522" s="2">
        <v>2025</v>
      </c>
      <c r="C522" s="2" t="s">
        <v>22</v>
      </c>
      <c r="D522" s="12" t="s">
        <v>15</v>
      </c>
      <c r="E522" s="12" t="s">
        <v>15</v>
      </c>
      <c r="F522" t="s">
        <v>33</v>
      </c>
      <c r="G522" s="3">
        <v>0.10736057701652624</v>
      </c>
      <c r="H522" s="13">
        <v>336474</v>
      </c>
      <c r="I522" s="13">
        <f t="shared" si="16"/>
        <v>36124.042791058651</v>
      </c>
      <c r="J522" s="29">
        <v>5040.7441219047632</v>
      </c>
      <c r="K522" s="58">
        <f t="shared" si="17"/>
        <v>7.1664107356848605</v>
      </c>
      <c r="L522" s="56">
        <v>4.6450318291945889</v>
      </c>
      <c r="M522" s="49">
        <v>532.25135059052343</v>
      </c>
      <c r="N522" s="49">
        <f>M522*I522</f>
        <v>19227070.564330827</v>
      </c>
    </row>
    <row r="523" spans="2:14">
      <c r="B523" s="2">
        <v>2025</v>
      </c>
      <c r="C523" s="2" t="s">
        <v>22</v>
      </c>
      <c r="D523" s="12" t="s">
        <v>15</v>
      </c>
      <c r="E523" s="12" t="s">
        <v>15</v>
      </c>
      <c r="F523" t="s">
        <v>34</v>
      </c>
      <c r="G523" s="3">
        <v>0.37088199332981786</v>
      </c>
      <c r="H523" s="13">
        <v>336474</v>
      </c>
      <c r="I523" s="13">
        <f t="shared" si="16"/>
        <v>124792.14782365714</v>
      </c>
      <c r="J523" s="29">
        <v>10071.339144736843</v>
      </c>
      <c r="K523" s="58">
        <f t="shared" si="17"/>
        <v>12.390819734123637</v>
      </c>
      <c r="L523" s="56">
        <v>11.534428287434828</v>
      </c>
      <c r="M523" s="49">
        <v>532.25135059052343</v>
      </c>
      <c r="N523" s="49">
        <f>M523*I523</f>
        <v>66420789.222233765</v>
      </c>
    </row>
    <row r="524" spans="2:14">
      <c r="B524" s="2">
        <v>2025</v>
      </c>
      <c r="C524" s="2" t="s">
        <v>22</v>
      </c>
      <c r="D524" s="12" t="s">
        <v>15</v>
      </c>
      <c r="E524" s="12" t="s">
        <v>15</v>
      </c>
      <c r="F524" t="s">
        <v>35</v>
      </c>
      <c r="G524" s="3">
        <v>9.7600524560478394E-2</v>
      </c>
      <c r="H524" s="13">
        <v>336474</v>
      </c>
      <c r="I524" s="13">
        <f t="shared" si="16"/>
        <v>32840.038900962405</v>
      </c>
      <c r="J524" s="29">
        <v>12787.390229523475</v>
      </c>
      <c r="K524" s="58">
        <f t="shared" si="17"/>
        <v>2.5681580300209701</v>
      </c>
      <c r="L524" s="56">
        <v>3.0365752175805478</v>
      </c>
      <c r="M524" s="49">
        <v>532.25135059052343</v>
      </c>
      <c r="N524" s="49">
        <f>M524*I524</f>
        <v>17479155.058482569</v>
      </c>
    </row>
    <row r="525" spans="2:14">
      <c r="B525" s="2">
        <v>2025</v>
      </c>
      <c r="C525" s="2" t="s">
        <v>22</v>
      </c>
      <c r="D525" s="12" t="s">
        <v>15</v>
      </c>
      <c r="E525" s="12" t="s">
        <v>15</v>
      </c>
      <c r="F525" t="s">
        <v>36</v>
      </c>
      <c r="G525" s="3">
        <v>0.11712062947257405</v>
      </c>
      <c r="H525" s="13">
        <v>336474</v>
      </c>
      <c r="I525" s="13">
        <f t="shared" si="16"/>
        <v>39408.046681154883</v>
      </c>
      <c r="J525" s="29">
        <v>41.743542857142856</v>
      </c>
      <c r="K525" s="58">
        <f t="shared" si="17"/>
        <v>944.05131869183595</v>
      </c>
      <c r="L525" s="56">
        <v>7.167127279604915</v>
      </c>
      <c r="M525" s="49">
        <v>532.25135059052343</v>
      </c>
      <c r="N525" s="49">
        <f>M525*I525</f>
        <v>20974986.070179082</v>
      </c>
    </row>
    <row r="526" spans="2:14">
      <c r="B526" s="2">
        <v>2025</v>
      </c>
      <c r="C526" s="2" t="s">
        <v>22</v>
      </c>
      <c r="D526" s="12" t="s">
        <v>15</v>
      </c>
      <c r="E526" s="12" t="s">
        <v>15</v>
      </c>
      <c r="F526" t="s">
        <v>37</v>
      </c>
      <c r="G526" s="3">
        <v>0.13664073438466978</v>
      </c>
      <c r="H526" s="13">
        <v>336474</v>
      </c>
      <c r="I526" s="13">
        <f t="shared" si="16"/>
        <v>45976.054461347383</v>
      </c>
      <c r="J526" s="29">
        <v>8880.9645952380633</v>
      </c>
      <c r="K526" s="58">
        <f t="shared" si="17"/>
        <v>5.1769212643860278</v>
      </c>
      <c r="L526" s="56">
        <v>3.7950000769594139</v>
      </c>
      <c r="M526" s="49">
        <v>532.25135059052343</v>
      </c>
      <c r="N526" s="49">
        <f>M526*I526</f>
        <v>24470817.081875604</v>
      </c>
    </row>
    <row r="527" spans="2:14">
      <c r="B527" s="2">
        <v>2026</v>
      </c>
      <c r="C527" s="2" t="s">
        <v>22</v>
      </c>
      <c r="D527" s="12" t="s">
        <v>15</v>
      </c>
      <c r="E527" s="12" t="s">
        <v>15</v>
      </c>
      <c r="F527" s="9" t="s">
        <v>38</v>
      </c>
      <c r="G527" s="10">
        <v>1</v>
      </c>
      <c r="H527" s="13">
        <v>336474</v>
      </c>
      <c r="I527" s="13">
        <f t="shared" si="16"/>
        <v>336474</v>
      </c>
      <c r="J527" s="29">
        <v>47843.258934260288</v>
      </c>
      <c r="K527" s="58">
        <f t="shared" si="17"/>
        <v>7.0328403101121708</v>
      </c>
      <c r="L527" s="56">
        <v>5.8607796652608499</v>
      </c>
      <c r="M527" s="49">
        <v>532.25135059052343</v>
      </c>
      <c r="N527" s="49">
        <f>M527*I527</f>
        <v>179088740.93859577</v>
      </c>
    </row>
    <row r="528" spans="2:14">
      <c r="B528" s="2">
        <v>2026</v>
      </c>
      <c r="C528" s="2" t="s">
        <v>23</v>
      </c>
      <c r="D528" s="12" t="s">
        <v>15</v>
      </c>
      <c r="E528" s="12" t="s">
        <v>15</v>
      </c>
      <c r="F528" t="s">
        <v>32</v>
      </c>
      <c r="G528" s="3">
        <v>0.14640078684071758</v>
      </c>
      <c r="H528" s="19">
        <v>495264</v>
      </c>
      <c r="I528" s="19">
        <f t="shared" si="16"/>
        <v>72507.039293881156</v>
      </c>
      <c r="J528" s="32">
        <v>14891.4305</v>
      </c>
      <c r="K528" s="58">
        <f t="shared" si="17"/>
        <v>4.8690446021207405</v>
      </c>
      <c r="L528" s="56">
        <v>4.9865153007908036</v>
      </c>
      <c r="M528" s="49">
        <v>523.27968653018252</v>
      </c>
      <c r="N528" s="49">
        <f>M528*I528</f>
        <v>37941460.792933755</v>
      </c>
    </row>
    <row r="529" spans="2:14">
      <c r="B529" s="2">
        <v>2026</v>
      </c>
      <c r="C529" s="2" t="s">
        <v>23</v>
      </c>
      <c r="D529" s="12" t="s">
        <v>15</v>
      </c>
      <c r="E529" s="12" t="s">
        <v>15</v>
      </c>
      <c r="F529" t="s">
        <v>33</v>
      </c>
      <c r="G529" s="3">
        <v>0.10736057701652624</v>
      </c>
      <c r="H529" s="19">
        <v>495264</v>
      </c>
      <c r="I529" s="19">
        <f t="shared" si="16"/>
        <v>53171.828815512854</v>
      </c>
      <c r="J529" s="32">
        <v>7096.7265164761911</v>
      </c>
      <c r="K529" s="58">
        <f t="shared" si="17"/>
        <v>7.4924443956049185</v>
      </c>
      <c r="L529" s="56">
        <v>4.6450318291945889</v>
      </c>
      <c r="M529" s="49">
        <v>523.27968653018252</v>
      </c>
      <c r="N529" s="49">
        <f>M529*I529</f>
        <v>27823737.914818093</v>
      </c>
    </row>
    <row r="530" spans="2:14">
      <c r="B530" s="2">
        <v>2026</v>
      </c>
      <c r="C530" s="2" t="s">
        <v>23</v>
      </c>
      <c r="D530" s="12" t="s">
        <v>15</v>
      </c>
      <c r="E530" s="12" t="s">
        <v>15</v>
      </c>
      <c r="F530" t="s">
        <v>34</v>
      </c>
      <c r="G530" s="3">
        <v>0.37088199332981786</v>
      </c>
      <c r="H530" s="19">
        <v>495264</v>
      </c>
      <c r="I530" s="19">
        <f t="shared" si="16"/>
        <v>183684.49954449892</v>
      </c>
      <c r="J530" s="32">
        <v>14331.536184210529</v>
      </c>
      <c r="K530" s="58">
        <f t="shared" si="17"/>
        <v>12.816804645608716</v>
      </c>
      <c r="L530" s="56">
        <v>11.534428287434828</v>
      </c>
      <c r="M530" s="49">
        <v>523.27968653018252</v>
      </c>
      <c r="N530" s="49">
        <f>M530*I530</f>
        <v>96118367.342098847</v>
      </c>
    </row>
    <row r="531" spans="2:14">
      <c r="B531" s="2">
        <v>2026</v>
      </c>
      <c r="C531" s="2" t="s">
        <v>23</v>
      </c>
      <c r="D531" s="12" t="s">
        <v>15</v>
      </c>
      <c r="E531" s="12" t="s">
        <v>15</v>
      </c>
      <c r="F531" t="s">
        <v>35</v>
      </c>
      <c r="G531" s="3">
        <v>9.7600524560478394E-2</v>
      </c>
      <c r="H531" s="19">
        <v>495264</v>
      </c>
      <c r="I531" s="19">
        <f t="shared" si="16"/>
        <v>48338.026195920771</v>
      </c>
      <c r="J531" s="32">
        <v>16604.882952856613</v>
      </c>
      <c r="K531" s="58">
        <f t="shared" si="17"/>
        <v>2.911072985769223</v>
      </c>
      <c r="L531" s="56">
        <v>3.0365752175805478</v>
      </c>
      <c r="M531" s="49">
        <v>523.27968653018252</v>
      </c>
      <c r="N531" s="49">
        <f>M531*I531</f>
        <v>25294307.195289172</v>
      </c>
    </row>
    <row r="532" spans="2:14">
      <c r="B532" s="2">
        <v>2026</v>
      </c>
      <c r="C532" s="2" t="s">
        <v>23</v>
      </c>
      <c r="D532" s="12" t="s">
        <v>15</v>
      </c>
      <c r="E532" s="12" t="s">
        <v>15</v>
      </c>
      <c r="F532" t="s">
        <v>36</v>
      </c>
      <c r="G532" s="3">
        <v>0.11712062947257405</v>
      </c>
      <c r="H532" s="19">
        <v>495264</v>
      </c>
      <c r="I532" s="19">
        <f t="shared" si="16"/>
        <v>58005.631435104915</v>
      </c>
      <c r="J532" s="32">
        <v>4085.6170476190559</v>
      </c>
      <c r="K532" s="58">
        <f t="shared" si="17"/>
        <v>14.197520413448544</v>
      </c>
      <c r="L532" s="56">
        <v>7.167127279604915</v>
      </c>
      <c r="M532" s="49">
        <v>523.27968653018252</v>
      </c>
      <c r="N532" s="49">
        <f>M532*I532</f>
        <v>30353168.634346999</v>
      </c>
    </row>
    <row r="533" spans="2:14">
      <c r="B533" s="2">
        <v>2026</v>
      </c>
      <c r="C533" s="2" t="s">
        <v>23</v>
      </c>
      <c r="D533" s="12" t="s">
        <v>15</v>
      </c>
      <c r="E533" s="12" t="s">
        <v>15</v>
      </c>
      <c r="F533" t="s">
        <v>37</v>
      </c>
      <c r="G533" s="3">
        <v>0.13664073438466978</v>
      </c>
      <c r="H533" s="19">
        <v>495264</v>
      </c>
      <c r="I533" s="19">
        <f t="shared" si="16"/>
        <v>67673.236674289088</v>
      </c>
      <c r="J533" s="32">
        <v>16311.138495238058</v>
      </c>
      <c r="K533" s="58">
        <f t="shared" si="17"/>
        <v>4.1488971903491532</v>
      </c>
      <c r="L533" s="56">
        <v>3.7950000769594139</v>
      </c>
      <c r="M533" s="49">
        <v>523.27968653018252</v>
      </c>
      <c r="N533" s="49">
        <f>M533*I533</f>
        <v>35412030.073404849</v>
      </c>
    </row>
    <row r="534" spans="2:14">
      <c r="B534" s="2">
        <v>2026</v>
      </c>
      <c r="C534" s="2" t="s">
        <v>23</v>
      </c>
      <c r="D534" s="12" t="s">
        <v>15</v>
      </c>
      <c r="E534" s="12" t="s">
        <v>15</v>
      </c>
      <c r="F534" s="9" t="s">
        <v>38</v>
      </c>
      <c r="G534" s="10">
        <v>1</v>
      </c>
      <c r="H534" s="19">
        <v>495264</v>
      </c>
      <c r="I534" s="19">
        <f t="shared" si="16"/>
        <v>495264</v>
      </c>
      <c r="J534" s="32">
        <v>73321.331696400448</v>
      </c>
      <c r="K534" s="58">
        <f t="shared" si="17"/>
        <v>6.7547054662171924</v>
      </c>
      <c r="L534" s="56">
        <v>5.8607796652608499</v>
      </c>
      <c r="M534" s="49">
        <v>523.27968653018252</v>
      </c>
      <c r="N534" s="49">
        <f>M534*I534</f>
        <v>259161590.66968432</v>
      </c>
    </row>
    <row r="535" spans="2:14">
      <c r="B535" s="2">
        <v>2026</v>
      </c>
      <c r="C535" s="2" t="s">
        <v>24</v>
      </c>
      <c r="D535" s="12" t="s">
        <v>15</v>
      </c>
      <c r="E535" s="12" t="s">
        <v>15</v>
      </c>
      <c r="F535" t="s">
        <v>32</v>
      </c>
      <c r="G535" s="3">
        <v>0.14640078684071758</v>
      </c>
      <c r="H535" s="19">
        <v>445923</v>
      </c>
      <c r="I535" s="19">
        <f t="shared" si="16"/>
        <v>65283.478070373305</v>
      </c>
      <c r="J535" s="32">
        <v>15494.553200000004</v>
      </c>
      <c r="K535" s="58">
        <f t="shared" si="17"/>
        <v>4.2133178819492061</v>
      </c>
      <c r="L535" s="56">
        <v>4.9865153007908036</v>
      </c>
      <c r="M535" s="49">
        <v>568.46356218769256</v>
      </c>
      <c r="N535" s="49">
        <f>M535*I535</f>
        <v>37111278.49588652</v>
      </c>
    </row>
    <row r="536" spans="2:14">
      <c r="B536" s="2">
        <v>2026</v>
      </c>
      <c r="C536" s="2" t="s">
        <v>24</v>
      </c>
      <c r="D536" s="12" t="s">
        <v>15</v>
      </c>
      <c r="E536" s="12" t="s">
        <v>15</v>
      </c>
      <c r="F536" t="s">
        <v>33</v>
      </c>
      <c r="G536" s="3">
        <v>0.10736057701652624</v>
      </c>
      <c r="H536" s="19">
        <v>445923</v>
      </c>
      <c r="I536" s="19">
        <f t="shared" si="16"/>
        <v>47874.550584940429</v>
      </c>
      <c r="J536" s="32">
        <v>7775.6699504761918</v>
      </c>
      <c r="K536" s="58">
        <f t="shared" si="17"/>
        <v>6.1569679384357778</v>
      </c>
      <c r="L536" s="56">
        <v>4.6450318291945889</v>
      </c>
      <c r="M536" s="49">
        <v>568.46356218769256</v>
      </c>
      <c r="N536" s="49">
        <f>M536*I536</f>
        <v>27214937.563650116</v>
      </c>
    </row>
    <row r="537" spans="2:14">
      <c r="B537" s="2">
        <v>2026</v>
      </c>
      <c r="C537" s="2" t="s">
        <v>24</v>
      </c>
      <c r="D537" s="12" t="s">
        <v>15</v>
      </c>
      <c r="E537" s="12" t="s">
        <v>15</v>
      </c>
      <c r="F537" t="s">
        <v>34</v>
      </c>
      <c r="G537" s="3">
        <v>0.37088199332981786</v>
      </c>
      <c r="H537" s="19">
        <v>445923</v>
      </c>
      <c r="I537" s="19">
        <f t="shared" si="16"/>
        <v>165384.81111161236</v>
      </c>
      <c r="J537" s="32">
        <v>14117.386513157897</v>
      </c>
      <c r="K537" s="58">
        <f t="shared" si="17"/>
        <v>11.71497365730321</v>
      </c>
      <c r="L537" s="56">
        <v>11.534428287434828</v>
      </c>
      <c r="M537" s="49">
        <v>568.46356218769256</v>
      </c>
      <c r="N537" s="49">
        <f>M537*I537</f>
        <v>94015238.856245846</v>
      </c>
    </row>
    <row r="538" spans="2:14">
      <c r="B538" s="2">
        <v>2026</v>
      </c>
      <c r="C538" s="2" t="s">
        <v>24</v>
      </c>
      <c r="D538" s="12" t="s">
        <v>15</v>
      </c>
      <c r="E538" s="12" t="s">
        <v>15</v>
      </c>
      <c r="F538" t="s">
        <v>35</v>
      </c>
      <c r="G538" s="3">
        <v>9.7600524560478394E-2</v>
      </c>
      <c r="H538" s="19">
        <v>445923</v>
      </c>
      <c r="I538" s="19">
        <f t="shared" si="16"/>
        <v>43522.318713582208</v>
      </c>
      <c r="J538" s="32">
        <v>16246.662572380583</v>
      </c>
      <c r="K538" s="58">
        <f t="shared" si="17"/>
        <v>2.6788467181912421</v>
      </c>
      <c r="L538" s="56">
        <v>3.0365752175805478</v>
      </c>
      <c r="M538" s="49">
        <v>568.46356218769256</v>
      </c>
      <c r="N538" s="49">
        <f>M538*I538</f>
        <v>24740852.330591016</v>
      </c>
    </row>
    <row r="539" spans="2:14">
      <c r="B539" s="2">
        <v>2026</v>
      </c>
      <c r="C539" s="2" t="s">
        <v>24</v>
      </c>
      <c r="D539" s="12" t="s">
        <v>15</v>
      </c>
      <c r="E539" s="12" t="s">
        <v>15</v>
      </c>
      <c r="F539" t="s">
        <v>36</v>
      </c>
      <c r="G539" s="3">
        <v>0.11712062947257405</v>
      </c>
      <c r="H539" s="19">
        <v>445923</v>
      </c>
      <c r="I539" s="19">
        <f t="shared" si="16"/>
        <v>52226.782456298643</v>
      </c>
      <c r="J539" s="32">
        <v>2509.8788285714318</v>
      </c>
      <c r="K539" s="58">
        <f t="shared" si="17"/>
        <v>20.808487589827191</v>
      </c>
      <c r="L539" s="56">
        <v>7.167127279604915</v>
      </c>
      <c r="M539" s="49">
        <v>568.46356218769256</v>
      </c>
      <c r="N539" s="49">
        <f>M539*I539</f>
        <v>29689022.796709213</v>
      </c>
    </row>
    <row r="540" spans="2:14">
      <c r="B540" s="2">
        <v>2026</v>
      </c>
      <c r="C540" s="2" t="s">
        <v>24</v>
      </c>
      <c r="D540" s="12" t="s">
        <v>15</v>
      </c>
      <c r="E540" s="12" t="s">
        <v>15</v>
      </c>
      <c r="F540" t="s">
        <v>37</v>
      </c>
      <c r="G540" s="3">
        <v>0.13664073438466978</v>
      </c>
      <c r="H540" s="19">
        <v>445923</v>
      </c>
      <c r="I540" s="19">
        <f t="shared" si="16"/>
        <v>60931.246199015106</v>
      </c>
      <c r="J540" s="32">
        <v>15758.972323809496</v>
      </c>
      <c r="K540" s="58">
        <f t="shared" si="17"/>
        <v>3.8664479476848204</v>
      </c>
      <c r="L540" s="56">
        <v>3.7950000769594139</v>
      </c>
      <c r="M540" s="49">
        <v>568.46356218769256</v>
      </c>
      <c r="N540" s="49">
        <f>M540*I540</f>
        <v>34637193.262827426</v>
      </c>
    </row>
    <row r="541" spans="2:14">
      <c r="B541" s="2">
        <v>2026</v>
      </c>
      <c r="C541" s="2" t="s">
        <v>24</v>
      </c>
      <c r="D541" s="12" t="s">
        <v>15</v>
      </c>
      <c r="E541" s="12" t="s">
        <v>15</v>
      </c>
      <c r="F541" s="9" t="s">
        <v>38</v>
      </c>
      <c r="G541" s="10">
        <v>1</v>
      </c>
      <c r="H541" s="19">
        <v>445923</v>
      </c>
      <c r="I541" s="19">
        <f t="shared" si="16"/>
        <v>445923</v>
      </c>
      <c r="J541" s="32">
        <v>71903.123388395616</v>
      </c>
      <c r="K541" s="58">
        <f t="shared" si="17"/>
        <v>6.2017194662223414</v>
      </c>
      <c r="L541" s="56">
        <v>5.8607796652608499</v>
      </c>
      <c r="M541" s="49">
        <v>568.46356218769256</v>
      </c>
      <c r="N541" s="49">
        <f>M541*I541</f>
        <v>253490977.04142243</v>
      </c>
    </row>
    <row r="542" spans="2:14">
      <c r="B542" s="2">
        <v>2026</v>
      </c>
      <c r="C542" s="2" t="s">
        <v>25</v>
      </c>
      <c r="D542" s="12" t="s">
        <v>15</v>
      </c>
      <c r="E542" s="12" t="s">
        <v>15</v>
      </c>
      <c r="F542" t="s">
        <v>32</v>
      </c>
      <c r="G542" s="3">
        <v>0.17</v>
      </c>
      <c r="H542" s="19">
        <v>232918</v>
      </c>
      <c r="I542" s="19">
        <f t="shared" si="16"/>
        <v>39596.060000000005</v>
      </c>
      <c r="J542" s="32">
        <v>6835.174</v>
      </c>
      <c r="K542" s="58">
        <f t="shared" si="17"/>
        <v>5.7929849335218098</v>
      </c>
      <c r="L542" s="56">
        <v>4.9865153007908036</v>
      </c>
      <c r="M542" s="49">
        <v>551.68080501090822</v>
      </c>
      <c r="N542" s="49">
        <f>M542*I542</f>
        <v>21844386.256060224</v>
      </c>
    </row>
    <row r="543" spans="2:14">
      <c r="B543" s="2">
        <v>2026</v>
      </c>
      <c r="C543" s="2" t="s">
        <v>25</v>
      </c>
      <c r="D543" s="12" t="s">
        <v>15</v>
      </c>
      <c r="E543" s="12" t="s">
        <v>15</v>
      </c>
      <c r="F543" t="s">
        <v>33</v>
      </c>
      <c r="G543" s="3">
        <v>0.13</v>
      </c>
      <c r="H543" s="19">
        <v>232918</v>
      </c>
      <c r="I543" s="19">
        <f t="shared" si="16"/>
        <v>30279.34</v>
      </c>
      <c r="J543" s="32">
        <v>2907.5220190476198</v>
      </c>
      <c r="K543" s="58">
        <f t="shared" si="17"/>
        <v>10.414139532438767</v>
      </c>
      <c r="L543" s="56">
        <v>4.6450318291945889</v>
      </c>
      <c r="M543" s="49">
        <v>551.68080501090822</v>
      </c>
      <c r="N543" s="49">
        <f>M543*I543</f>
        <v>16704530.666398993</v>
      </c>
    </row>
    <row r="544" spans="2:14">
      <c r="B544" s="2">
        <v>2026</v>
      </c>
      <c r="C544" s="2" t="s">
        <v>25</v>
      </c>
      <c r="D544" s="12" t="s">
        <v>15</v>
      </c>
      <c r="E544" s="12" t="s">
        <v>15</v>
      </c>
      <c r="F544" t="s">
        <v>34</v>
      </c>
      <c r="G544" s="3">
        <v>0.43000000000000005</v>
      </c>
      <c r="H544" s="19">
        <v>232918</v>
      </c>
      <c r="I544" s="19">
        <f t="shared" si="16"/>
        <v>100154.74</v>
      </c>
      <c r="J544" s="32">
        <v>6437.9634868421062</v>
      </c>
      <c r="K544" s="58">
        <f t="shared" si="17"/>
        <v>15.556897799233564</v>
      </c>
      <c r="L544" s="56">
        <v>11.534428287434828</v>
      </c>
      <c r="M544" s="49">
        <v>551.68080501090822</v>
      </c>
      <c r="N544" s="49">
        <f>M544*I544</f>
        <v>55253447.58885821</v>
      </c>
    </row>
    <row r="545" spans="2:14">
      <c r="B545" s="2">
        <v>2026</v>
      </c>
      <c r="C545" s="2" t="s">
        <v>25</v>
      </c>
      <c r="D545" s="12" t="s">
        <v>15</v>
      </c>
      <c r="E545" s="12" t="s">
        <v>15</v>
      </c>
      <c r="F545" t="s">
        <v>35</v>
      </c>
      <c r="G545" s="3">
        <v>0.11</v>
      </c>
      <c r="H545" s="19">
        <v>232918</v>
      </c>
      <c r="I545" s="19">
        <f t="shared" si="16"/>
        <v>25620.98</v>
      </c>
      <c r="J545" s="32">
        <v>8639.3351895237774</v>
      </c>
      <c r="K545" s="58">
        <f t="shared" si="17"/>
        <v>2.9656193952363936</v>
      </c>
      <c r="L545" s="56">
        <v>3.0365752175805478</v>
      </c>
      <c r="M545" s="49">
        <v>551.68080501090822</v>
      </c>
      <c r="N545" s="49">
        <f>M545*I545</f>
        <v>14134602.871568378</v>
      </c>
    </row>
    <row r="546" spans="2:14">
      <c r="B546" s="2">
        <v>2026</v>
      </c>
      <c r="C546" s="2" t="s">
        <v>25</v>
      </c>
      <c r="D546" s="12" t="s">
        <v>15</v>
      </c>
      <c r="E546" s="12" t="s">
        <v>15</v>
      </c>
      <c r="F546" t="s">
        <v>36</v>
      </c>
      <c r="G546" s="3">
        <v>0</v>
      </c>
      <c r="H546" s="19">
        <v>232918</v>
      </c>
      <c r="I546" s="19">
        <f t="shared" si="16"/>
        <v>0</v>
      </c>
      <c r="J546" s="32">
        <v>0</v>
      </c>
      <c r="K546" s="58">
        <f t="shared" si="17"/>
        <v>0</v>
      </c>
      <c r="L546" s="56">
        <v>7.167127279604915</v>
      </c>
      <c r="M546" s="49">
        <v>551.68080501090822</v>
      </c>
      <c r="N546" s="49">
        <f>M546*I546</f>
        <v>0</v>
      </c>
    </row>
    <row r="547" spans="2:14">
      <c r="B547" s="2">
        <v>2026</v>
      </c>
      <c r="C547" s="2" t="s">
        <v>25</v>
      </c>
      <c r="D547" s="12" t="s">
        <v>15</v>
      </c>
      <c r="E547" s="12" t="s">
        <v>15</v>
      </c>
      <c r="F547" t="s">
        <v>37</v>
      </c>
      <c r="G547" s="3">
        <v>0.15999999999999998</v>
      </c>
      <c r="H547" s="19">
        <v>232918</v>
      </c>
      <c r="I547" s="19">
        <f t="shared" si="16"/>
        <v>37266.879999999997</v>
      </c>
      <c r="J547" s="32">
        <v>6759.9930928571184</v>
      </c>
      <c r="K547" s="58">
        <f t="shared" si="17"/>
        <v>5.5128577038603321</v>
      </c>
      <c r="L547" s="56">
        <v>3.7950000769594139</v>
      </c>
      <c r="M547" s="49">
        <v>551.68080501090822</v>
      </c>
      <c r="N547" s="49">
        <f>M547*I547</f>
        <v>20559422.358644914</v>
      </c>
    </row>
    <row r="548" spans="2:14">
      <c r="B548" s="2">
        <v>2026</v>
      </c>
      <c r="C548" s="2" t="s">
        <v>25</v>
      </c>
      <c r="D548" s="12" t="s">
        <v>15</v>
      </c>
      <c r="E548" s="12" t="s">
        <v>15</v>
      </c>
      <c r="F548" s="9" t="s">
        <v>38</v>
      </c>
      <c r="G548" s="10">
        <v>1</v>
      </c>
      <c r="H548" s="19">
        <v>232918</v>
      </c>
      <c r="I548" s="19">
        <f t="shared" si="16"/>
        <v>232918</v>
      </c>
      <c r="J548" s="32">
        <v>31579.987788270621</v>
      </c>
      <c r="K548" s="58">
        <f t="shared" si="17"/>
        <v>7.3754936690162358</v>
      </c>
      <c r="L548" s="56">
        <v>5.8607796652608499</v>
      </c>
      <c r="M548" s="49">
        <v>551.68080501090822</v>
      </c>
      <c r="N548" s="49">
        <f>M548*I548</f>
        <v>128496389.74153072</v>
      </c>
    </row>
    <row r="549" spans="2:14">
      <c r="B549" s="2">
        <v>2026</v>
      </c>
      <c r="C549" s="2" t="s">
        <v>26</v>
      </c>
      <c r="D549" s="12" t="s">
        <v>15</v>
      </c>
      <c r="E549" s="12" t="s">
        <v>15</v>
      </c>
      <c r="F549" t="s">
        <v>32</v>
      </c>
      <c r="G549" s="3">
        <v>0.17</v>
      </c>
      <c r="H549" s="19">
        <v>315157.5</v>
      </c>
      <c r="I549" s="19">
        <f t="shared" si="16"/>
        <v>53576.775000000001</v>
      </c>
      <c r="J549" s="32">
        <v>11697.483</v>
      </c>
      <c r="K549" s="58">
        <f t="shared" si="17"/>
        <v>4.5801968679928837</v>
      </c>
      <c r="L549" s="56">
        <v>4.9865153007908036</v>
      </c>
      <c r="M549" s="49">
        <v>551.91486873773351</v>
      </c>
      <c r="N549" s="49">
        <f>M549*I549</f>
        <v>29569818.741516083</v>
      </c>
    </row>
    <row r="550" spans="2:14">
      <c r="B550" s="2">
        <v>2026</v>
      </c>
      <c r="C550" s="2" t="s">
        <v>26</v>
      </c>
      <c r="D550" s="12" t="s">
        <v>15</v>
      </c>
      <c r="E550" s="12" t="s">
        <v>15</v>
      </c>
      <c r="F550" t="s">
        <v>33</v>
      </c>
      <c r="G550" s="3">
        <v>0.13</v>
      </c>
      <c r="H550" s="19">
        <v>315157.5</v>
      </c>
      <c r="I550" s="19">
        <f t="shared" si="16"/>
        <v>40970.474999999999</v>
      </c>
      <c r="J550" s="32">
        <v>5211.5586742857149</v>
      </c>
      <c r="K550" s="58">
        <f t="shared" si="17"/>
        <v>7.8614628675585863</v>
      </c>
      <c r="L550" s="56">
        <v>4.6450318291945889</v>
      </c>
      <c r="M550" s="49">
        <v>551.91486873773351</v>
      </c>
      <c r="N550" s="49">
        <f>M550*I550</f>
        <v>22612214.331747591</v>
      </c>
    </row>
    <row r="551" spans="2:14">
      <c r="B551" s="2">
        <v>2026</v>
      </c>
      <c r="C551" s="2" t="s">
        <v>26</v>
      </c>
      <c r="D551" s="12" t="s">
        <v>15</v>
      </c>
      <c r="E551" s="12" t="s">
        <v>15</v>
      </c>
      <c r="F551" t="s">
        <v>34</v>
      </c>
      <c r="G551" s="3">
        <v>0.43000000000000005</v>
      </c>
      <c r="H551" s="19">
        <v>315157.5</v>
      </c>
      <c r="I551" s="19">
        <f t="shared" si="16"/>
        <v>135517.72500000001</v>
      </c>
      <c r="J551" s="32">
        <v>10439.464802631581</v>
      </c>
      <c r="K551" s="58">
        <f t="shared" si="17"/>
        <v>12.981290474377451</v>
      </c>
      <c r="L551" s="56">
        <v>11.534428287434828</v>
      </c>
      <c r="M551" s="49">
        <v>551.91486873773351</v>
      </c>
      <c r="N551" s="49">
        <f>M551*I551</f>
        <v>74794247.405011266</v>
      </c>
    </row>
    <row r="552" spans="2:14">
      <c r="B552" s="2">
        <v>2026</v>
      </c>
      <c r="C552" s="2" t="s">
        <v>26</v>
      </c>
      <c r="D552" s="12" t="s">
        <v>15</v>
      </c>
      <c r="E552" s="12" t="s">
        <v>15</v>
      </c>
      <c r="F552" t="s">
        <v>35</v>
      </c>
      <c r="G552" s="3">
        <v>0.11</v>
      </c>
      <c r="H552" s="19">
        <v>315157.5</v>
      </c>
      <c r="I552" s="19">
        <f t="shared" si="16"/>
        <v>34667.324999999997</v>
      </c>
      <c r="J552" s="32">
        <v>13960.879386666316</v>
      </c>
      <c r="K552" s="58">
        <f t="shared" si="17"/>
        <v>2.4831763128839781</v>
      </c>
      <c r="L552" s="56">
        <v>3.0365752175805478</v>
      </c>
      <c r="M552" s="49">
        <v>551.91486873773351</v>
      </c>
      <c r="N552" s="49">
        <f>M552*I552</f>
        <v>19133412.126863346</v>
      </c>
    </row>
    <row r="553" spans="2:14">
      <c r="B553" s="2">
        <v>2026</v>
      </c>
      <c r="C553" s="2" t="s">
        <v>26</v>
      </c>
      <c r="D553" s="12" t="s">
        <v>15</v>
      </c>
      <c r="E553" s="12" t="s">
        <v>15</v>
      </c>
      <c r="F553" t="s">
        <v>36</v>
      </c>
      <c r="G553" s="3">
        <v>0</v>
      </c>
      <c r="H553" s="19">
        <v>315157.5</v>
      </c>
      <c r="I553" s="19">
        <f t="shared" si="16"/>
        <v>0</v>
      </c>
      <c r="J553" s="32"/>
      <c r="K553" s="58">
        <f t="shared" si="17"/>
        <v>0</v>
      </c>
      <c r="L553" s="56">
        <v>7.167127279604915</v>
      </c>
      <c r="M553" s="49">
        <v>551.91486873773351</v>
      </c>
      <c r="N553" s="49">
        <f>M553*I553</f>
        <v>0</v>
      </c>
    </row>
    <row r="554" spans="2:14">
      <c r="B554" s="2">
        <v>2026</v>
      </c>
      <c r="C554" s="2" t="s">
        <v>26</v>
      </c>
      <c r="D554" s="12" t="s">
        <v>15</v>
      </c>
      <c r="E554" s="12" t="s">
        <v>15</v>
      </c>
      <c r="F554" t="s">
        <v>37</v>
      </c>
      <c r="G554" s="3">
        <v>0.15999999999999998</v>
      </c>
      <c r="H554" s="19">
        <v>315157.5</v>
      </c>
      <c r="I554" s="19">
        <f t="shared" si="16"/>
        <v>50425.19999999999</v>
      </c>
      <c r="J554" s="32">
        <v>11012.620971428505</v>
      </c>
      <c r="K554" s="58">
        <f t="shared" si="17"/>
        <v>4.5788554905162666</v>
      </c>
      <c r="L554" s="56">
        <v>3.7950000769594139</v>
      </c>
      <c r="M554" s="49">
        <v>551.91486873773351</v>
      </c>
      <c r="N554" s="49">
        <f>M554*I554</f>
        <v>27830417.639073953</v>
      </c>
    </row>
    <row r="555" spans="2:14">
      <c r="B555" s="2">
        <v>2026</v>
      </c>
      <c r="C555" s="2" t="s">
        <v>26</v>
      </c>
      <c r="D555" s="12" t="s">
        <v>15</v>
      </c>
      <c r="E555" s="12" t="s">
        <v>15</v>
      </c>
      <c r="F555" s="9" t="s">
        <v>38</v>
      </c>
      <c r="G555" s="10">
        <v>1</v>
      </c>
      <c r="H555" s="19">
        <v>315157.5</v>
      </c>
      <c r="I555" s="19">
        <f t="shared" si="16"/>
        <v>315157.5</v>
      </c>
      <c r="J555" s="32">
        <v>52322.006835012122</v>
      </c>
      <c r="K555" s="58">
        <f t="shared" si="17"/>
        <v>6.0234214829295736</v>
      </c>
      <c r="L555" s="56">
        <v>5.8607796652608499</v>
      </c>
      <c r="M555" s="49">
        <v>551.91486873773351</v>
      </c>
      <c r="N555" s="49">
        <f>M555*I555</f>
        <v>173940110.24421224</v>
      </c>
    </row>
    <row r="556" spans="2:14">
      <c r="B556" s="2">
        <v>2026</v>
      </c>
      <c r="C556" s="2" t="s">
        <v>27</v>
      </c>
      <c r="D556" s="12" t="s">
        <v>15</v>
      </c>
      <c r="E556" s="12" t="s">
        <v>15</v>
      </c>
      <c r="F556" t="s">
        <v>32</v>
      </c>
      <c r="G556" s="3">
        <v>0.17</v>
      </c>
      <c r="H556" s="19">
        <v>448000</v>
      </c>
      <c r="I556" s="19">
        <f t="shared" si="16"/>
        <v>76160</v>
      </c>
      <c r="J556" s="32">
        <v>14244.699000000001</v>
      </c>
      <c r="K556" s="58">
        <f t="shared" si="17"/>
        <v>5.3465503202278963</v>
      </c>
      <c r="L556" s="56">
        <v>4.9865153007908036</v>
      </c>
      <c r="M556" s="49">
        <v>544.41109332564952</v>
      </c>
      <c r="N556" s="49">
        <f>M556*I556</f>
        <v>41462348.867681466</v>
      </c>
    </row>
    <row r="557" spans="2:14">
      <c r="B557" s="2">
        <v>2026</v>
      </c>
      <c r="C557" s="2" t="s">
        <v>27</v>
      </c>
      <c r="D557" s="12" t="s">
        <v>15</v>
      </c>
      <c r="E557" s="12" t="s">
        <v>15</v>
      </c>
      <c r="F557" t="s">
        <v>33</v>
      </c>
      <c r="G557" s="3">
        <v>0.13</v>
      </c>
      <c r="H557" s="19">
        <v>448000</v>
      </c>
      <c r="I557" s="19">
        <f t="shared" si="16"/>
        <v>58240</v>
      </c>
      <c r="J557" s="32">
        <v>6011.9595885714307</v>
      </c>
      <c r="K557" s="58">
        <f t="shared" si="17"/>
        <v>9.6873571989260601</v>
      </c>
      <c r="L557" s="56">
        <v>4.6450318291945889</v>
      </c>
      <c r="M557" s="49">
        <v>544.41109332564952</v>
      </c>
      <c r="N557" s="49">
        <f>M557*I557</f>
        <v>31706502.07528583</v>
      </c>
    </row>
    <row r="558" spans="2:14">
      <c r="B558" s="2">
        <v>2026</v>
      </c>
      <c r="C558" s="2" t="s">
        <v>27</v>
      </c>
      <c r="D558" s="12" t="s">
        <v>15</v>
      </c>
      <c r="E558" s="12" t="s">
        <v>15</v>
      </c>
      <c r="F558" t="s">
        <v>34</v>
      </c>
      <c r="G558" s="3">
        <v>0.43000000000000005</v>
      </c>
      <c r="H558" s="19">
        <v>448000</v>
      </c>
      <c r="I558" s="19">
        <f t="shared" si="16"/>
        <v>192640.00000000003</v>
      </c>
      <c r="J558" s="32">
        <v>13351.973355263159</v>
      </c>
      <c r="K558" s="58">
        <f t="shared" si="17"/>
        <v>14.427829870111601</v>
      </c>
      <c r="L558" s="56">
        <v>11.534428287434828</v>
      </c>
      <c r="M558" s="49">
        <v>544.41109332564952</v>
      </c>
      <c r="N558" s="49">
        <f>M558*I558</f>
        <v>104875353.01825313</v>
      </c>
    </row>
    <row r="559" spans="2:14">
      <c r="B559" s="2">
        <v>2026</v>
      </c>
      <c r="C559" s="2" t="s">
        <v>27</v>
      </c>
      <c r="D559" s="12" t="s">
        <v>15</v>
      </c>
      <c r="E559" s="12" t="s">
        <v>15</v>
      </c>
      <c r="F559" t="s">
        <v>35</v>
      </c>
      <c r="G559" s="3">
        <v>0.11</v>
      </c>
      <c r="H559" s="19">
        <v>448000</v>
      </c>
      <c r="I559" s="19">
        <f t="shared" si="16"/>
        <v>49280</v>
      </c>
      <c r="J559" s="32">
        <v>16049.479978570967</v>
      </c>
      <c r="K559" s="58">
        <f t="shared" si="17"/>
        <v>3.0705044690418593</v>
      </c>
      <c r="L559" s="56">
        <v>3.0365752175805478</v>
      </c>
      <c r="M559" s="49">
        <v>544.41109332564952</v>
      </c>
      <c r="N559" s="49">
        <f>M559*I559</f>
        <v>26828578.679088008</v>
      </c>
    </row>
    <row r="560" spans="2:14">
      <c r="B560" s="2">
        <v>2026</v>
      </c>
      <c r="C560" s="2" t="s">
        <v>27</v>
      </c>
      <c r="D560" s="12" t="s">
        <v>15</v>
      </c>
      <c r="E560" s="12" t="s">
        <v>15</v>
      </c>
      <c r="F560" t="s">
        <v>36</v>
      </c>
      <c r="G560" s="3">
        <v>0</v>
      </c>
      <c r="H560" s="19">
        <v>448000</v>
      </c>
      <c r="I560" s="19">
        <f t="shared" si="16"/>
        <v>0</v>
      </c>
      <c r="J560" s="32"/>
      <c r="K560" s="58">
        <f t="shared" si="17"/>
        <v>0</v>
      </c>
      <c r="L560" s="56">
        <v>7.167127279604915</v>
      </c>
      <c r="M560" s="49">
        <v>544.41109332564952</v>
      </c>
      <c r="N560" s="49">
        <f>M560*I560</f>
        <v>0</v>
      </c>
    </row>
    <row r="561" spans="2:14">
      <c r="B561" s="2">
        <v>2026</v>
      </c>
      <c r="C561" s="2" t="s">
        <v>27</v>
      </c>
      <c r="D561" s="12" t="s">
        <v>15</v>
      </c>
      <c r="E561" s="12" t="s">
        <v>15</v>
      </c>
      <c r="F561" t="s">
        <v>37</v>
      </c>
      <c r="G561" s="3">
        <v>0.15999999999999998</v>
      </c>
      <c r="H561" s="19">
        <v>448000</v>
      </c>
      <c r="I561" s="19">
        <f t="shared" si="16"/>
        <v>71679.999999999985</v>
      </c>
      <c r="J561" s="32">
        <v>15299.822595238073</v>
      </c>
      <c r="K561" s="58">
        <f t="shared" si="17"/>
        <v>4.6850216434738083</v>
      </c>
      <c r="L561" s="56">
        <v>3.7950000769594139</v>
      </c>
      <c r="M561" s="49">
        <v>544.41109332564952</v>
      </c>
      <c r="N561" s="49">
        <f>M561*I561</f>
        <v>39023387.169582546</v>
      </c>
    </row>
    <row r="562" spans="2:14">
      <c r="B562" s="2">
        <v>2026</v>
      </c>
      <c r="C562" s="2" t="s">
        <v>27</v>
      </c>
      <c r="D562" s="12" t="s">
        <v>15</v>
      </c>
      <c r="E562" s="12" t="s">
        <v>15</v>
      </c>
      <c r="F562" s="9" t="s">
        <v>38</v>
      </c>
      <c r="G562" s="10">
        <v>1</v>
      </c>
      <c r="H562" s="19">
        <v>448000</v>
      </c>
      <c r="I562" s="19">
        <f t="shared" si="16"/>
        <v>448000</v>
      </c>
      <c r="J562" s="32">
        <v>64957.934517643633</v>
      </c>
      <c r="K562" s="58">
        <f t="shared" si="17"/>
        <v>6.8967710153763573</v>
      </c>
      <c r="L562" s="56">
        <v>5.8607796652608499</v>
      </c>
      <c r="M562" s="49">
        <v>544.41109332564952</v>
      </c>
      <c r="N562" s="49">
        <f>M562*I562</f>
        <v>243896169.80989099</v>
      </c>
    </row>
    <row r="563" spans="2:14">
      <c r="B563" s="2">
        <v>2026</v>
      </c>
      <c r="C563" s="2" t="s">
        <v>28</v>
      </c>
      <c r="D563" s="12" t="s">
        <v>15</v>
      </c>
      <c r="E563" s="12" t="s">
        <v>15</v>
      </c>
      <c r="F563" t="s">
        <v>32</v>
      </c>
      <c r="G563" s="3">
        <v>0.17</v>
      </c>
      <c r="H563" s="19">
        <v>506000</v>
      </c>
      <c r="I563" s="19">
        <f t="shared" si="16"/>
        <v>86020</v>
      </c>
      <c r="J563" s="32">
        <v>16311.785000000002</v>
      </c>
      <c r="K563" s="58">
        <f t="shared" si="17"/>
        <v>5.2734878494291086</v>
      </c>
      <c r="L563" s="56">
        <v>4.9865153007908036</v>
      </c>
      <c r="M563" s="49">
        <v>544.41109332564952</v>
      </c>
      <c r="N563" s="49">
        <f>M563*I563</f>
        <v>46830242.247872375</v>
      </c>
    </row>
    <row r="564" spans="2:14">
      <c r="B564" s="2">
        <v>2026</v>
      </c>
      <c r="C564" s="2" t="s">
        <v>28</v>
      </c>
      <c r="D564" s="12" t="s">
        <v>15</v>
      </c>
      <c r="E564" s="12" t="s">
        <v>15</v>
      </c>
      <c r="F564" t="s">
        <v>33</v>
      </c>
      <c r="G564" s="3">
        <v>0.13</v>
      </c>
      <c r="H564" s="19">
        <v>506000</v>
      </c>
      <c r="I564" s="19">
        <f t="shared" si="16"/>
        <v>65780</v>
      </c>
      <c r="J564" s="32">
        <v>7922.4546591833341</v>
      </c>
      <c r="K564" s="58">
        <f t="shared" si="17"/>
        <v>8.3029821980427414</v>
      </c>
      <c r="L564" s="56">
        <v>4.6450318291945889</v>
      </c>
      <c r="M564" s="49">
        <v>544.41109332564952</v>
      </c>
      <c r="N564" s="49">
        <f>M564*I564</f>
        <v>35811361.718961224</v>
      </c>
    </row>
    <row r="565" spans="2:14">
      <c r="B565" s="2">
        <v>2026</v>
      </c>
      <c r="C565" s="2" t="s">
        <v>28</v>
      </c>
      <c r="D565" s="12" t="s">
        <v>15</v>
      </c>
      <c r="E565" s="12" t="s">
        <v>15</v>
      </c>
      <c r="F565" t="s">
        <v>34</v>
      </c>
      <c r="G565" s="3">
        <v>0.43000000000000005</v>
      </c>
      <c r="H565" s="19">
        <v>506000</v>
      </c>
      <c r="I565" s="19">
        <f t="shared" si="16"/>
        <v>217580.00000000003</v>
      </c>
      <c r="J565" s="32">
        <v>14758.338486842107</v>
      </c>
      <c r="K565" s="58">
        <f t="shared" si="17"/>
        <v>14.742851994754348</v>
      </c>
      <c r="L565" s="56">
        <v>11.534428287434828</v>
      </c>
      <c r="M565" s="49">
        <v>544.41109332564952</v>
      </c>
      <c r="N565" s="49">
        <f>M565*I565</f>
        <v>118452965.68579485</v>
      </c>
    </row>
    <row r="566" spans="2:14">
      <c r="B566" s="2">
        <v>2026</v>
      </c>
      <c r="C566" s="2" t="s">
        <v>28</v>
      </c>
      <c r="D566" s="12" t="s">
        <v>15</v>
      </c>
      <c r="E566" s="12" t="s">
        <v>15</v>
      </c>
      <c r="F566" t="s">
        <v>35</v>
      </c>
      <c r="G566" s="3">
        <v>0.11</v>
      </c>
      <c r="H566" s="19">
        <v>506000</v>
      </c>
      <c r="I566" s="19">
        <f t="shared" si="16"/>
        <v>55660</v>
      </c>
      <c r="J566" s="32">
        <v>18509.893369999496</v>
      </c>
      <c r="K566" s="58">
        <f t="shared" si="17"/>
        <v>3.007040553254225</v>
      </c>
      <c r="L566" s="56">
        <v>3.0365752175805478</v>
      </c>
      <c r="M566" s="49">
        <v>544.41109332564952</v>
      </c>
      <c r="N566" s="49">
        <f>M566*I566</f>
        <v>30301921.454505652</v>
      </c>
    </row>
    <row r="567" spans="2:14">
      <c r="B567" s="2">
        <v>2026</v>
      </c>
      <c r="C567" s="2" t="s">
        <v>28</v>
      </c>
      <c r="D567" s="12" t="s">
        <v>15</v>
      </c>
      <c r="E567" s="12" t="s">
        <v>15</v>
      </c>
      <c r="F567" t="s">
        <v>36</v>
      </c>
      <c r="G567" s="3">
        <v>0</v>
      </c>
      <c r="H567" s="19">
        <v>506000</v>
      </c>
      <c r="I567" s="19">
        <f t="shared" si="16"/>
        <v>0</v>
      </c>
      <c r="J567" s="32"/>
      <c r="K567" s="58">
        <f t="shared" si="17"/>
        <v>0</v>
      </c>
      <c r="L567" s="56">
        <v>7.167127279604915</v>
      </c>
      <c r="M567" s="49">
        <v>544.41109332564952</v>
      </c>
      <c r="N567" s="49">
        <f>M567*I567</f>
        <v>0</v>
      </c>
    </row>
    <row r="568" spans="2:14">
      <c r="B568" s="2">
        <v>2026</v>
      </c>
      <c r="C568" s="2" t="s">
        <v>28</v>
      </c>
      <c r="D568" s="12" t="s">
        <v>15</v>
      </c>
      <c r="E568" s="12" t="s">
        <v>15</v>
      </c>
      <c r="F568" t="s">
        <v>37</v>
      </c>
      <c r="G568" s="3">
        <v>0.15999999999999998</v>
      </c>
      <c r="H568" s="19">
        <v>506000</v>
      </c>
      <c r="I568" s="19">
        <f t="shared" si="16"/>
        <v>80959.999999999985</v>
      </c>
      <c r="J568" s="32">
        <v>17931.005457142976</v>
      </c>
      <c r="K568" s="58">
        <f t="shared" si="17"/>
        <v>4.5150842318074726</v>
      </c>
      <c r="L568" s="56">
        <v>3.7950000769594139</v>
      </c>
      <c r="M568" s="49">
        <v>544.41109332564952</v>
      </c>
      <c r="N568" s="49">
        <f>M568*I568</f>
        <v>44075522.115644574</v>
      </c>
    </row>
    <row r="569" spans="2:14">
      <c r="B569" s="2">
        <v>2026</v>
      </c>
      <c r="C569" s="2" t="s">
        <v>28</v>
      </c>
      <c r="D569" s="12" t="s">
        <v>15</v>
      </c>
      <c r="E569" s="12" t="s">
        <v>15</v>
      </c>
      <c r="F569" s="9" t="s">
        <v>38</v>
      </c>
      <c r="G569" s="10">
        <v>1</v>
      </c>
      <c r="H569" s="19">
        <v>506000</v>
      </c>
      <c r="I569" s="19">
        <f t="shared" si="16"/>
        <v>506000</v>
      </c>
      <c r="J569" s="32">
        <v>75433.476973167912</v>
      </c>
      <c r="K569" s="58">
        <f t="shared" si="17"/>
        <v>6.7078970810265961</v>
      </c>
      <c r="L569" s="56">
        <v>5.8607796652608499</v>
      </c>
      <c r="M569" s="49">
        <v>544.41109332564952</v>
      </c>
      <c r="N569" s="49">
        <f>M569*I569</f>
        <v>275472013.22277868</v>
      </c>
    </row>
    <row r="570" spans="2:14">
      <c r="B570" s="2"/>
      <c r="C570" s="2"/>
      <c r="D570" s="12"/>
      <c r="E570" s="12"/>
      <c r="G570" s="3"/>
      <c r="H570" s="19"/>
      <c r="I570" s="19"/>
      <c r="J570" s="32"/>
      <c r="K570" s="20"/>
      <c r="L570" s="20"/>
      <c r="M570" s="49"/>
      <c r="N570" s="49"/>
    </row>
    <row r="571" spans="2:14">
      <c r="B571" s="2"/>
      <c r="C571" s="2"/>
      <c r="D571" s="12"/>
      <c r="E571" s="12"/>
      <c r="G571" s="3"/>
      <c r="H571" s="19"/>
      <c r="I571" s="19"/>
      <c r="J571" s="32"/>
      <c r="K571" s="20"/>
      <c r="L571" s="20"/>
      <c r="M571" s="49"/>
      <c r="N571" s="49"/>
    </row>
    <row r="572" spans="2:14">
      <c r="B572" s="2"/>
      <c r="C572" s="2"/>
      <c r="D572" s="12"/>
      <c r="E572" s="12"/>
      <c r="G572" s="3"/>
      <c r="H572" s="19"/>
      <c r="I572" s="19"/>
      <c r="J572" s="32"/>
      <c r="K572" s="20"/>
      <c r="L572" s="20"/>
      <c r="M572" s="49"/>
      <c r="N572" s="49"/>
    </row>
    <row r="573" spans="2:14">
      <c r="B573" s="2"/>
      <c r="C573" s="2"/>
      <c r="D573" s="12"/>
      <c r="E573" s="12"/>
      <c r="G573" s="3"/>
      <c r="H573" s="19"/>
      <c r="I573" s="19"/>
      <c r="J573" s="32"/>
      <c r="K573" s="20"/>
      <c r="L573" s="20"/>
      <c r="M573" s="49"/>
      <c r="N573" s="49"/>
    </row>
    <row r="574" spans="2:14">
      <c r="B574" s="2"/>
      <c r="C574" s="2"/>
      <c r="D574" s="12"/>
      <c r="E574" s="12"/>
      <c r="G574" s="3"/>
      <c r="H574" s="19"/>
      <c r="I574" s="19"/>
      <c r="J574" s="32"/>
      <c r="K574" s="20"/>
      <c r="L574" s="20"/>
      <c r="M574" s="49"/>
      <c r="N574" s="49"/>
    </row>
    <row r="575" spans="2:14">
      <c r="B575" s="2"/>
      <c r="C575" s="2"/>
      <c r="D575" s="12"/>
      <c r="E575" s="12"/>
      <c r="G575" s="3"/>
      <c r="H575" s="19"/>
      <c r="I575" s="19"/>
      <c r="J575" s="32"/>
      <c r="K575" s="20"/>
      <c r="L575" s="20"/>
      <c r="M575" s="49"/>
      <c r="N575" s="49"/>
    </row>
    <row r="576" spans="2:14">
      <c r="B576" s="2"/>
      <c r="C576" s="2"/>
      <c r="D576" s="12"/>
      <c r="E576" s="12"/>
      <c r="F576" s="9"/>
      <c r="G576" s="10"/>
      <c r="H576" s="19"/>
      <c r="I576" s="19"/>
      <c r="J576" s="32"/>
      <c r="K576" s="20"/>
      <c r="L576" s="20"/>
      <c r="M576" s="49"/>
      <c r="N576" s="49"/>
    </row>
    <row r="577" spans="2:14">
      <c r="B577" s="2"/>
      <c r="C577" s="2"/>
      <c r="D577" s="12"/>
      <c r="E577" s="12"/>
      <c r="G577" s="3"/>
      <c r="H577" s="21"/>
      <c r="I577" s="21"/>
      <c r="J577" s="32"/>
      <c r="K577" s="20"/>
      <c r="L577" s="20"/>
      <c r="M577" s="49"/>
      <c r="N577" s="49"/>
    </row>
    <row r="578" spans="2:14">
      <c r="B578" s="2"/>
      <c r="C578" s="2"/>
      <c r="D578" s="12"/>
      <c r="E578" s="12"/>
      <c r="G578" s="3"/>
      <c r="H578" s="21"/>
      <c r="I578" s="21"/>
      <c r="J578" s="32"/>
      <c r="K578" s="20"/>
      <c r="L578" s="20"/>
      <c r="M578" s="49"/>
      <c r="N578" s="49"/>
    </row>
    <row r="579" spans="2:14">
      <c r="B579" s="2"/>
      <c r="C579" s="2"/>
      <c r="D579" s="12"/>
      <c r="E579" s="12"/>
      <c r="G579" s="3"/>
      <c r="H579" s="21"/>
      <c r="I579" s="21"/>
      <c r="J579" s="32"/>
      <c r="K579" s="20"/>
      <c r="L579" s="20"/>
      <c r="M579" s="49"/>
      <c r="N579" s="49"/>
    </row>
    <row r="580" spans="2:14">
      <c r="B580" s="2"/>
      <c r="C580" s="2"/>
      <c r="D580" s="12"/>
      <c r="E580" s="12"/>
      <c r="G580" s="3"/>
      <c r="H580" s="21"/>
      <c r="I580" s="21"/>
      <c r="J580" s="32"/>
      <c r="K580" s="20"/>
      <c r="L580" s="20"/>
      <c r="M580" s="49"/>
      <c r="N580" s="49"/>
    </row>
    <row r="581" spans="2:14">
      <c r="B581" s="2"/>
      <c r="C581" s="2"/>
      <c r="D581" s="12"/>
      <c r="E581" s="12"/>
      <c r="G581" s="3"/>
      <c r="H581" s="21"/>
      <c r="I581" s="21"/>
      <c r="J581" s="32"/>
      <c r="K581" s="20"/>
      <c r="L581" s="20"/>
      <c r="M581" s="49"/>
      <c r="N581" s="49"/>
    </row>
    <row r="582" spans="2:14">
      <c r="B582" s="2"/>
      <c r="C582" s="2"/>
      <c r="D582" s="12"/>
      <c r="E582" s="12"/>
      <c r="G582" s="3"/>
      <c r="H582" s="21"/>
      <c r="I582" s="21"/>
      <c r="J582" s="32"/>
      <c r="K582" s="20"/>
      <c r="L582" s="20"/>
      <c r="M582" s="49"/>
      <c r="N582" s="49"/>
    </row>
    <row r="583" spans="2:14">
      <c r="B583" s="2"/>
      <c r="C583" s="2"/>
      <c r="F583" s="9"/>
      <c r="G583" s="10"/>
      <c r="H583" s="21"/>
      <c r="I583" s="21"/>
      <c r="J583" s="32"/>
      <c r="K583" s="20"/>
      <c r="L583" s="20"/>
      <c r="M583" s="49"/>
      <c r="N583" s="49"/>
    </row>
    <row r="584" spans="2:14">
      <c r="B584" s="2"/>
      <c r="C584" s="2"/>
    </row>
    <row r="585" spans="2:14">
      <c r="B585" s="2"/>
      <c r="C585" s="2"/>
    </row>
    <row r="586" spans="2:14">
      <c r="B586" s="2"/>
      <c r="C586" s="2"/>
    </row>
    <row r="587" spans="2:14">
      <c r="B587" s="2"/>
      <c r="C587" s="2"/>
    </row>
    <row r="588" spans="2:14">
      <c r="B588" s="2"/>
      <c r="C588" s="2"/>
    </row>
    <row r="589" spans="2:14">
      <c r="B589" s="2"/>
      <c r="C589" s="2"/>
    </row>
    <row r="590" spans="2:14">
      <c r="B590" s="2" t="str">
        <f t="shared" ref="B590:B621" ca="1" si="18">IF(EDATE(DATE(2019,10,1),QUOTIENT(ROW()-ROW($A$2),7))&gt;TODAY(),"",YEAR(EDATE(DATE(2019,10,1),QUOTIENT(ROW()-ROW($A$2),7))))</f>
        <v/>
      </c>
      <c r="C590" s="2"/>
    </row>
    <row r="591" spans="2:14">
      <c r="B591" s="2" t="str">
        <f t="shared" ca="1" si="18"/>
        <v/>
      </c>
      <c r="C591" s="2" t="str">
        <f ca="1">IF(EDATE(DATE(2019,10,1),QUOTIENT(ROWS($B$2:B590)-1,7))&gt;TODAY(),"",PROPER(TEXT(EDATE(DATE(2019,10,1),QUOTIENT(ROWS($B$2:B590)-1,7)),"mmm")))</f>
        <v/>
      </c>
    </row>
    <row r="592" spans="2:14">
      <c r="B592" s="2" t="str">
        <f t="shared" ca="1" si="18"/>
        <v/>
      </c>
      <c r="C592" s="2" t="str">
        <f ca="1">IF(EDATE(DATE(2019,10,1),QUOTIENT(ROWS($B$2:B591)-1,7))&gt;TODAY(),"",PROPER(TEXT(EDATE(DATE(2019,10,1),QUOTIENT(ROWS($B$2:B591)-1,7)),"mmm")))</f>
        <v/>
      </c>
    </row>
    <row r="593" spans="2:3">
      <c r="B593" s="2" t="str">
        <f t="shared" ca="1" si="18"/>
        <v/>
      </c>
      <c r="C593" s="2" t="str">
        <f ca="1">IF(EDATE(DATE(2019,10,1),QUOTIENT(ROWS($B$2:B592)-1,7))&gt;TODAY(),"",PROPER(TEXT(EDATE(DATE(2019,10,1),QUOTIENT(ROWS($B$2:B592)-1,7)),"mmm")))</f>
        <v/>
      </c>
    </row>
    <row r="594" spans="2:3">
      <c r="B594" s="2" t="str">
        <f t="shared" ca="1" si="18"/>
        <v/>
      </c>
      <c r="C594" s="2" t="str">
        <f ca="1">IF(EDATE(DATE(2019,10,1),QUOTIENT(ROWS($B$2:B593)-1,7))&gt;TODAY(),"",PROPER(TEXT(EDATE(DATE(2019,10,1),QUOTIENT(ROWS($B$2:B593)-1,7)),"mmm")))</f>
        <v/>
      </c>
    </row>
    <row r="595" spans="2:3">
      <c r="B595" s="2" t="str">
        <f t="shared" ca="1" si="18"/>
        <v/>
      </c>
      <c r="C595" s="2" t="str">
        <f ca="1">IF(EDATE(DATE(2019,10,1),QUOTIENT(ROWS($B$2:B594)-1,7))&gt;TODAY(),"",PROPER(TEXT(EDATE(DATE(2019,10,1),QUOTIENT(ROWS($B$2:B594)-1,7)),"mmm")))</f>
        <v/>
      </c>
    </row>
    <row r="596" spans="2:3">
      <c r="B596" s="2" t="str">
        <f t="shared" ca="1" si="18"/>
        <v/>
      </c>
      <c r="C596" s="2" t="str">
        <f ca="1">IF(EDATE(DATE(2019,10,1),QUOTIENT(ROWS($B$2:B595)-1,7))&gt;TODAY(),"",PROPER(TEXT(EDATE(DATE(2019,10,1),QUOTIENT(ROWS($B$2:B595)-1,7)),"mmm")))</f>
        <v/>
      </c>
    </row>
    <row r="597" spans="2:3">
      <c r="B597" s="2" t="str">
        <f t="shared" ca="1" si="18"/>
        <v/>
      </c>
      <c r="C597" s="2" t="str">
        <f ca="1">IF(EDATE(DATE(2019,10,1),QUOTIENT(ROWS($B$2:B596)-1,7))&gt;TODAY(),"",PROPER(TEXT(EDATE(DATE(2019,10,1),QUOTIENT(ROWS($B$2:B596)-1,7)),"mmm")))</f>
        <v/>
      </c>
    </row>
    <row r="598" spans="2:3">
      <c r="B598" s="2" t="str">
        <f t="shared" ca="1" si="18"/>
        <v/>
      </c>
      <c r="C598" s="2" t="str">
        <f ca="1">IF(EDATE(DATE(2019,10,1),QUOTIENT(ROWS($B$2:B597)-1,7))&gt;TODAY(),"",PROPER(TEXT(EDATE(DATE(2019,10,1),QUOTIENT(ROWS($B$2:B597)-1,7)),"mmm")))</f>
        <v/>
      </c>
    </row>
    <row r="599" spans="2:3">
      <c r="B599" s="2" t="str">
        <f t="shared" ca="1" si="18"/>
        <v/>
      </c>
      <c r="C599" s="2" t="str">
        <f ca="1">IF(EDATE(DATE(2019,10,1),QUOTIENT(ROWS($B$2:B598)-1,7))&gt;TODAY(),"",PROPER(TEXT(EDATE(DATE(2019,10,1),QUOTIENT(ROWS($B$2:B598)-1,7)),"mmm")))</f>
        <v/>
      </c>
    </row>
    <row r="600" spans="2:3">
      <c r="B600" s="2" t="str">
        <f t="shared" ca="1" si="18"/>
        <v/>
      </c>
      <c r="C600" s="2" t="str">
        <f ca="1">IF(EDATE(DATE(2019,10,1),QUOTIENT(ROWS($B$2:B599)-1,7))&gt;TODAY(),"",PROPER(TEXT(EDATE(DATE(2019,10,1),QUOTIENT(ROWS($B$2:B599)-1,7)),"mmm")))</f>
        <v/>
      </c>
    </row>
    <row r="601" spans="2:3">
      <c r="B601" s="2" t="str">
        <f t="shared" ca="1" si="18"/>
        <v/>
      </c>
      <c r="C601" s="2" t="str">
        <f ca="1">IF(EDATE(DATE(2019,10,1),QUOTIENT(ROWS($B$2:B600)-1,7))&gt;TODAY(),"",PROPER(TEXT(EDATE(DATE(2019,10,1),QUOTIENT(ROWS($B$2:B600)-1,7)),"mmm")))</f>
        <v/>
      </c>
    </row>
    <row r="602" spans="2:3">
      <c r="B602" s="2" t="str">
        <f t="shared" ca="1" si="18"/>
        <v/>
      </c>
      <c r="C602" s="2" t="str">
        <f ca="1">IF(EDATE(DATE(2019,10,1),QUOTIENT(ROWS($B$2:B601)-1,7))&gt;TODAY(),"",PROPER(TEXT(EDATE(DATE(2019,10,1),QUOTIENT(ROWS($B$2:B601)-1,7)),"mmm")))</f>
        <v/>
      </c>
    </row>
    <row r="603" spans="2:3">
      <c r="B603" s="2" t="str">
        <f t="shared" ca="1" si="18"/>
        <v/>
      </c>
      <c r="C603" s="2" t="str">
        <f ca="1">IF(EDATE(DATE(2019,10,1),QUOTIENT(ROWS($B$2:B602)-1,7))&gt;TODAY(),"",PROPER(TEXT(EDATE(DATE(2019,10,1),QUOTIENT(ROWS($B$2:B602)-1,7)),"mmm")))</f>
        <v/>
      </c>
    </row>
    <row r="604" spans="2:3">
      <c r="B604" s="2" t="str">
        <f t="shared" ca="1" si="18"/>
        <v/>
      </c>
      <c r="C604" s="2" t="str">
        <f ca="1">IF(EDATE(DATE(2019,10,1),QUOTIENT(ROWS($B$2:B603)-1,7))&gt;TODAY(),"",PROPER(TEXT(EDATE(DATE(2019,10,1),QUOTIENT(ROWS($B$2:B603)-1,7)),"mmm")))</f>
        <v/>
      </c>
    </row>
    <row r="605" spans="2:3">
      <c r="B605" s="2" t="str">
        <f t="shared" ca="1" si="18"/>
        <v/>
      </c>
      <c r="C605" s="2" t="str">
        <f ca="1">IF(EDATE(DATE(2019,10,1),QUOTIENT(ROWS($B$2:B604)-1,7))&gt;TODAY(),"",PROPER(TEXT(EDATE(DATE(2019,10,1),QUOTIENT(ROWS($B$2:B604)-1,7)),"mmm")))</f>
        <v/>
      </c>
    </row>
    <row r="606" spans="2:3">
      <c r="B606" s="2" t="str">
        <f t="shared" ca="1" si="18"/>
        <v/>
      </c>
      <c r="C606" s="2" t="str">
        <f ca="1">IF(EDATE(DATE(2019,10,1),QUOTIENT(ROWS($B$2:B605)-1,7))&gt;TODAY(),"",PROPER(TEXT(EDATE(DATE(2019,10,1),QUOTIENT(ROWS($B$2:B605)-1,7)),"mmm")))</f>
        <v/>
      </c>
    </row>
    <row r="607" spans="2:3">
      <c r="B607" s="2" t="str">
        <f t="shared" ca="1" si="18"/>
        <v/>
      </c>
      <c r="C607" s="2" t="str">
        <f ca="1">IF(EDATE(DATE(2019,10,1),QUOTIENT(ROWS($B$2:B606)-1,7))&gt;TODAY(),"",PROPER(TEXT(EDATE(DATE(2019,10,1),QUOTIENT(ROWS($B$2:B606)-1,7)),"mmm")))</f>
        <v/>
      </c>
    </row>
    <row r="608" spans="2:3">
      <c r="B608" s="2" t="str">
        <f t="shared" ca="1" si="18"/>
        <v/>
      </c>
      <c r="C608" s="2" t="str">
        <f ca="1">IF(EDATE(DATE(2019,10,1),QUOTIENT(ROWS($B$2:B607)-1,7))&gt;TODAY(),"",PROPER(TEXT(EDATE(DATE(2019,10,1),QUOTIENT(ROWS($B$2:B607)-1,7)),"mmm")))</f>
        <v/>
      </c>
    </row>
    <row r="609" spans="2:3">
      <c r="B609" s="2" t="str">
        <f t="shared" ca="1" si="18"/>
        <v/>
      </c>
      <c r="C609" s="2" t="str">
        <f ca="1">IF(EDATE(DATE(2019,10,1),QUOTIENT(ROWS($B$2:B608)-1,7))&gt;TODAY(),"",PROPER(TEXT(EDATE(DATE(2019,10,1),QUOTIENT(ROWS($B$2:B608)-1,7)),"mmm")))</f>
        <v/>
      </c>
    </row>
    <row r="610" spans="2:3">
      <c r="B610" s="2" t="str">
        <f t="shared" ca="1" si="18"/>
        <v/>
      </c>
      <c r="C610" s="2" t="str">
        <f ca="1">IF(EDATE(DATE(2019,10,1),QUOTIENT(ROWS($B$2:B609)-1,7))&gt;TODAY(),"",PROPER(TEXT(EDATE(DATE(2019,10,1),QUOTIENT(ROWS($B$2:B609)-1,7)),"mmm")))</f>
        <v/>
      </c>
    </row>
    <row r="611" spans="2:3">
      <c r="B611" s="2" t="str">
        <f t="shared" ca="1" si="18"/>
        <v/>
      </c>
      <c r="C611" s="2" t="str">
        <f ca="1">IF(EDATE(DATE(2019,10,1),QUOTIENT(ROWS($B$2:B610)-1,7))&gt;TODAY(),"",PROPER(TEXT(EDATE(DATE(2019,10,1),QUOTIENT(ROWS($B$2:B610)-1,7)),"mmm")))</f>
        <v/>
      </c>
    </row>
    <row r="612" spans="2:3">
      <c r="B612" s="2" t="str">
        <f t="shared" ca="1" si="18"/>
        <v/>
      </c>
      <c r="C612" s="2" t="str">
        <f ca="1">IF(EDATE(DATE(2019,10,1),QUOTIENT(ROWS($B$2:B611)-1,7))&gt;TODAY(),"",PROPER(TEXT(EDATE(DATE(2019,10,1),QUOTIENT(ROWS($B$2:B611)-1,7)),"mmm")))</f>
        <v/>
      </c>
    </row>
    <row r="613" spans="2:3">
      <c r="B613" s="2" t="str">
        <f t="shared" ca="1" si="18"/>
        <v/>
      </c>
      <c r="C613" s="2" t="str">
        <f ca="1">IF(EDATE(DATE(2019,10,1),QUOTIENT(ROWS($B$2:B612)-1,7))&gt;TODAY(),"",PROPER(TEXT(EDATE(DATE(2019,10,1),QUOTIENT(ROWS($B$2:B612)-1,7)),"mmm")))</f>
        <v/>
      </c>
    </row>
    <row r="614" spans="2:3">
      <c r="B614" s="2" t="str">
        <f t="shared" ca="1" si="18"/>
        <v/>
      </c>
      <c r="C614" s="2" t="str">
        <f ca="1">IF(EDATE(DATE(2019,10,1),QUOTIENT(ROWS($B$2:B613)-1,7))&gt;TODAY(),"",PROPER(TEXT(EDATE(DATE(2019,10,1),QUOTIENT(ROWS($B$2:B613)-1,7)),"mmm")))</f>
        <v/>
      </c>
    </row>
    <row r="615" spans="2:3">
      <c r="B615" s="2" t="str">
        <f t="shared" ca="1" si="18"/>
        <v/>
      </c>
      <c r="C615" s="2" t="str">
        <f ca="1">IF(EDATE(DATE(2019,10,1),QUOTIENT(ROWS($B$2:B614)-1,7))&gt;TODAY(),"",PROPER(TEXT(EDATE(DATE(2019,10,1),QUOTIENT(ROWS($B$2:B614)-1,7)),"mmm")))</f>
        <v/>
      </c>
    </row>
    <row r="616" spans="2:3">
      <c r="B616" s="2" t="str">
        <f t="shared" ca="1" si="18"/>
        <v/>
      </c>
      <c r="C616" s="2" t="str">
        <f ca="1">IF(EDATE(DATE(2019,10,1),QUOTIENT(ROWS($B$2:B615)-1,7))&gt;TODAY(),"",PROPER(TEXT(EDATE(DATE(2019,10,1),QUOTIENT(ROWS($B$2:B615)-1,7)),"mmm")))</f>
        <v/>
      </c>
    </row>
    <row r="617" spans="2:3">
      <c r="B617" s="2" t="str">
        <f t="shared" ca="1" si="18"/>
        <v/>
      </c>
      <c r="C617" s="2" t="str">
        <f ca="1">IF(EDATE(DATE(2019,10,1),QUOTIENT(ROWS($B$2:B616)-1,7))&gt;TODAY(),"",PROPER(TEXT(EDATE(DATE(2019,10,1),QUOTIENT(ROWS($B$2:B616)-1,7)),"mmm")))</f>
        <v/>
      </c>
    </row>
    <row r="618" spans="2:3">
      <c r="B618" s="2" t="str">
        <f t="shared" ca="1" si="18"/>
        <v/>
      </c>
      <c r="C618" s="2" t="str">
        <f ca="1">IF(EDATE(DATE(2019,10,1),QUOTIENT(ROWS($B$2:B617)-1,7))&gt;TODAY(),"",PROPER(TEXT(EDATE(DATE(2019,10,1),QUOTIENT(ROWS($B$2:B617)-1,7)),"mmm")))</f>
        <v/>
      </c>
    </row>
    <row r="619" spans="2:3">
      <c r="B619" s="2" t="str">
        <f t="shared" ca="1" si="18"/>
        <v/>
      </c>
      <c r="C619" s="2" t="str">
        <f ca="1">IF(EDATE(DATE(2019,10,1),QUOTIENT(ROWS($B$2:B618)-1,7))&gt;TODAY(),"",PROPER(TEXT(EDATE(DATE(2019,10,1),QUOTIENT(ROWS($B$2:B618)-1,7)),"mmm")))</f>
        <v/>
      </c>
    </row>
    <row r="620" spans="2:3">
      <c r="B620" s="2" t="str">
        <f t="shared" ca="1" si="18"/>
        <v/>
      </c>
      <c r="C620" s="2" t="str">
        <f ca="1">IF(EDATE(DATE(2019,10,1),QUOTIENT(ROWS($B$2:B619)-1,7))&gt;TODAY(),"",PROPER(TEXT(EDATE(DATE(2019,10,1),QUOTIENT(ROWS($B$2:B619)-1,7)),"mmm")))</f>
        <v/>
      </c>
    </row>
    <row r="621" spans="2:3">
      <c r="B621" s="2" t="str">
        <f t="shared" ca="1" si="18"/>
        <v/>
      </c>
      <c r="C621" s="2" t="str">
        <f ca="1">IF(EDATE(DATE(2019,10,1),QUOTIENT(ROWS($B$2:B620)-1,7))&gt;TODAY(),"",PROPER(TEXT(EDATE(DATE(2019,10,1),QUOTIENT(ROWS($B$2:B620)-1,7)),"mmm")))</f>
        <v/>
      </c>
    </row>
    <row r="622" spans="2:3">
      <c r="B622" s="2" t="str">
        <f t="shared" ref="B622:B650" ca="1" si="19">IF(EDATE(DATE(2019,10,1),QUOTIENT(ROW()-ROW($A$2),7))&gt;TODAY(),"",YEAR(EDATE(DATE(2019,10,1),QUOTIENT(ROW()-ROW($A$2),7))))</f>
        <v/>
      </c>
      <c r="C622" s="2" t="str">
        <f ca="1">IF(EDATE(DATE(2019,10,1),QUOTIENT(ROWS($B$2:B621)-1,7))&gt;TODAY(),"",PROPER(TEXT(EDATE(DATE(2019,10,1),QUOTIENT(ROWS($B$2:B621)-1,7)),"mmm")))</f>
        <v/>
      </c>
    </row>
    <row r="623" spans="2:3">
      <c r="B623" s="2" t="str">
        <f t="shared" ca="1" si="19"/>
        <v/>
      </c>
      <c r="C623" s="2" t="str">
        <f ca="1">IF(EDATE(DATE(2019,10,1),QUOTIENT(ROWS($B$2:B622)-1,7))&gt;TODAY(),"",PROPER(TEXT(EDATE(DATE(2019,10,1),QUOTIENT(ROWS($B$2:B622)-1,7)),"mmm")))</f>
        <v/>
      </c>
    </row>
    <row r="624" spans="2:3">
      <c r="B624" s="2" t="str">
        <f t="shared" ca="1" si="19"/>
        <v/>
      </c>
      <c r="C624" s="2" t="str">
        <f ca="1">IF(EDATE(DATE(2019,10,1),QUOTIENT(ROWS($B$2:B623)-1,7))&gt;TODAY(),"",PROPER(TEXT(EDATE(DATE(2019,10,1),QUOTIENT(ROWS($B$2:B623)-1,7)),"mmm")))</f>
        <v/>
      </c>
    </row>
    <row r="625" spans="2:3">
      <c r="B625" s="2" t="str">
        <f t="shared" ca="1" si="19"/>
        <v/>
      </c>
      <c r="C625" s="2" t="str">
        <f ca="1">IF(EDATE(DATE(2019,10,1),QUOTIENT(ROWS($B$2:B624)-1,7))&gt;TODAY(),"",PROPER(TEXT(EDATE(DATE(2019,10,1),QUOTIENT(ROWS($B$2:B624)-1,7)),"mmm")))</f>
        <v/>
      </c>
    </row>
    <row r="626" spans="2:3">
      <c r="B626" s="2" t="str">
        <f t="shared" ca="1" si="19"/>
        <v/>
      </c>
      <c r="C626" s="2" t="str">
        <f ca="1">IF(EDATE(DATE(2019,10,1),QUOTIENT(ROWS($B$2:B625)-1,7))&gt;TODAY(),"",PROPER(TEXT(EDATE(DATE(2019,10,1),QUOTIENT(ROWS($B$2:B625)-1,7)),"mmm")))</f>
        <v/>
      </c>
    </row>
    <row r="627" spans="2:3">
      <c r="B627" s="2" t="str">
        <f t="shared" ca="1" si="19"/>
        <v/>
      </c>
      <c r="C627" s="2" t="str">
        <f ca="1">IF(EDATE(DATE(2019,10,1),QUOTIENT(ROWS($B$2:B626)-1,7))&gt;TODAY(),"",PROPER(TEXT(EDATE(DATE(2019,10,1),QUOTIENT(ROWS($B$2:B626)-1,7)),"mmm")))</f>
        <v/>
      </c>
    </row>
    <row r="628" spans="2:3">
      <c r="B628" s="2" t="str">
        <f t="shared" ca="1" si="19"/>
        <v/>
      </c>
      <c r="C628" s="2" t="str">
        <f ca="1">IF(EDATE(DATE(2019,10,1),QUOTIENT(ROWS($B$2:B627)-1,7))&gt;TODAY(),"",PROPER(TEXT(EDATE(DATE(2019,10,1),QUOTIENT(ROWS($B$2:B627)-1,7)),"mmm")))</f>
        <v/>
      </c>
    </row>
    <row r="629" spans="2:3">
      <c r="B629" s="2" t="str">
        <f t="shared" ca="1" si="19"/>
        <v/>
      </c>
      <c r="C629" s="2" t="str">
        <f ca="1">IF(EDATE(DATE(2019,10,1),QUOTIENT(ROWS($B$2:B628)-1,7))&gt;TODAY(),"",PROPER(TEXT(EDATE(DATE(2019,10,1),QUOTIENT(ROWS($B$2:B628)-1,7)),"mmm")))</f>
        <v/>
      </c>
    </row>
    <row r="630" spans="2:3">
      <c r="B630" s="2" t="str">
        <f t="shared" ca="1" si="19"/>
        <v/>
      </c>
      <c r="C630" s="2" t="str">
        <f ca="1">IF(EDATE(DATE(2019,10,1),QUOTIENT(ROWS($B$2:B629)-1,7))&gt;TODAY(),"",PROPER(TEXT(EDATE(DATE(2019,10,1),QUOTIENT(ROWS($B$2:B629)-1,7)),"mmm")))</f>
        <v/>
      </c>
    </row>
    <row r="631" spans="2:3">
      <c r="B631" s="2" t="str">
        <f t="shared" ca="1" si="19"/>
        <v/>
      </c>
      <c r="C631" s="2" t="str">
        <f ca="1">IF(EDATE(DATE(2019,10,1),QUOTIENT(ROWS($B$2:B630)-1,7))&gt;TODAY(),"",PROPER(TEXT(EDATE(DATE(2019,10,1),QUOTIENT(ROWS($B$2:B630)-1,7)),"mmm")))</f>
        <v/>
      </c>
    </row>
    <row r="632" spans="2:3">
      <c r="B632" s="2" t="str">
        <f t="shared" ca="1" si="19"/>
        <v/>
      </c>
      <c r="C632" s="2" t="str">
        <f ca="1">IF(EDATE(DATE(2019,10,1),QUOTIENT(ROWS($B$2:B631)-1,7))&gt;TODAY(),"",PROPER(TEXT(EDATE(DATE(2019,10,1),QUOTIENT(ROWS($B$2:B631)-1,7)),"mmm")))</f>
        <v/>
      </c>
    </row>
    <row r="633" spans="2:3">
      <c r="B633" s="2" t="str">
        <f t="shared" ca="1" si="19"/>
        <v/>
      </c>
      <c r="C633" s="2" t="str">
        <f ca="1">IF(EDATE(DATE(2019,10,1),QUOTIENT(ROWS($B$2:B632)-1,7))&gt;TODAY(),"",PROPER(TEXT(EDATE(DATE(2019,10,1),QUOTIENT(ROWS($B$2:B632)-1,7)),"mmm")))</f>
        <v/>
      </c>
    </row>
    <row r="634" spans="2:3">
      <c r="B634" s="2" t="str">
        <f t="shared" ca="1" si="19"/>
        <v/>
      </c>
      <c r="C634" s="2" t="str">
        <f ca="1">IF(EDATE(DATE(2019,10,1),QUOTIENT(ROWS($B$2:B633)-1,7))&gt;TODAY(),"",PROPER(TEXT(EDATE(DATE(2019,10,1),QUOTIENT(ROWS($B$2:B633)-1,7)),"mmm")))</f>
        <v/>
      </c>
    </row>
    <row r="635" spans="2:3">
      <c r="B635" s="2" t="str">
        <f t="shared" ca="1" si="19"/>
        <v/>
      </c>
      <c r="C635" s="2" t="str">
        <f ca="1">IF(EDATE(DATE(2019,10,1),QUOTIENT(ROWS($B$2:B634)-1,7))&gt;TODAY(),"",PROPER(TEXT(EDATE(DATE(2019,10,1),QUOTIENT(ROWS($B$2:B634)-1,7)),"mmm")))</f>
        <v/>
      </c>
    </row>
    <row r="636" spans="2:3">
      <c r="B636" s="2" t="str">
        <f t="shared" ca="1" si="19"/>
        <v/>
      </c>
      <c r="C636" s="2" t="str">
        <f ca="1">IF(EDATE(DATE(2019,10,1),QUOTIENT(ROWS($B$2:B635)-1,7))&gt;TODAY(),"",PROPER(TEXT(EDATE(DATE(2019,10,1),QUOTIENT(ROWS($B$2:B635)-1,7)),"mmm")))</f>
        <v/>
      </c>
    </row>
    <row r="637" spans="2:3">
      <c r="B637" s="2" t="str">
        <f t="shared" ca="1" si="19"/>
        <v/>
      </c>
      <c r="C637" s="2" t="str">
        <f ca="1">IF(EDATE(DATE(2019,10,1),QUOTIENT(ROWS($B$2:B636)-1,7))&gt;TODAY(),"",PROPER(TEXT(EDATE(DATE(2019,10,1),QUOTIENT(ROWS($B$2:B636)-1,7)),"mmm")))</f>
        <v/>
      </c>
    </row>
    <row r="638" spans="2:3">
      <c r="B638" s="2" t="str">
        <f t="shared" ca="1" si="19"/>
        <v/>
      </c>
      <c r="C638" s="2" t="str">
        <f ca="1">IF(EDATE(DATE(2019,10,1),QUOTIENT(ROWS($B$2:B637)-1,7))&gt;TODAY(),"",PROPER(TEXT(EDATE(DATE(2019,10,1),QUOTIENT(ROWS($B$2:B637)-1,7)),"mmm")))</f>
        <v/>
      </c>
    </row>
    <row r="639" spans="2:3">
      <c r="B639" s="2" t="str">
        <f t="shared" ca="1" si="19"/>
        <v/>
      </c>
      <c r="C639" s="2" t="str">
        <f ca="1">IF(EDATE(DATE(2019,10,1),QUOTIENT(ROWS($B$2:B638)-1,7))&gt;TODAY(),"",PROPER(TEXT(EDATE(DATE(2019,10,1),QUOTIENT(ROWS($B$2:B638)-1,7)),"mmm")))</f>
        <v/>
      </c>
    </row>
    <row r="640" spans="2:3">
      <c r="B640" s="2" t="str">
        <f t="shared" ca="1" si="19"/>
        <v/>
      </c>
      <c r="C640" s="2" t="str">
        <f ca="1">IF(EDATE(DATE(2019,10,1),QUOTIENT(ROWS($B$2:B639)-1,7))&gt;TODAY(),"",PROPER(TEXT(EDATE(DATE(2019,10,1),QUOTIENT(ROWS($B$2:B639)-1,7)),"mmm")))</f>
        <v/>
      </c>
    </row>
    <row r="641" spans="2:3">
      <c r="B641" s="2" t="str">
        <f t="shared" ca="1" si="19"/>
        <v/>
      </c>
      <c r="C641" s="2" t="str">
        <f ca="1">IF(EDATE(DATE(2019,10,1),QUOTIENT(ROWS($B$2:B640)-1,7))&gt;TODAY(),"",PROPER(TEXT(EDATE(DATE(2019,10,1),QUOTIENT(ROWS($B$2:B640)-1,7)),"mmm")))</f>
        <v/>
      </c>
    </row>
    <row r="642" spans="2:3">
      <c r="B642" s="2" t="str">
        <f t="shared" ca="1" si="19"/>
        <v/>
      </c>
      <c r="C642" s="2" t="str">
        <f ca="1">IF(EDATE(DATE(2019,10,1),QUOTIENT(ROWS($B$2:B641)-1,7))&gt;TODAY(),"",PROPER(TEXT(EDATE(DATE(2019,10,1),QUOTIENT(ROWS($B$2:B641)-1,7)),"mmm")))</f>
        <v/>
      </c>
    </row>
    <row r="643" spans="2:3">
      <c r="B643" s="2" t="str">
        <f t="shared" ca="1" si="19"/>
        <v/>
      </c>
      <c r="C643" s="2" t="str">
        <f ca="1">IF(EDATE(DATE(2019,10,1),QUOTIENT(ROWS($B$2:B642)-1,7))&gt;TODAY(),"",PROPER(TEXT(EDATE(DATE(2019,10,1),QUOTIENT(ROWS($B$2:B642)-1,7)),"mmm")))</f>
        <v/>
      </c>
    </row>
    <row r="644" spans="2:3">
      <c r="B644" s="2" t="str">
        <f t="shared" ca="1" si="19"/>
        <v/>
      </c>
      <c r="C644" s="2" t="str">
        <f ca="1">IF(EDATE(DATE(2019,10,1),QUOTIENT(ROWS($B$2:B643)-1,7))&gt;TODAY(),"",PROPER(TEXT(EDATE(DATE(2019,10,1),QUOTIENT(ROWS($B$2:B643)-1,7)),"mmm")))</f>
        <v/>
      </c>
    </row>
    <row r="645" spans="2:3">
      <c r="B645" s="2" t="str">
        <f t="shared" ca="1" si="19"/>
        <v/>
      </c>
      <c r="C645" s="2" t="str">
        <f ca="1">IF(EDATE(DATE(2019,10,1),QUOTIENT(ROWS($B$2:B644)-1,7))&gt;TODAY(),"",PROPER(TEXT(EDATE(DATE(2019,10,1),QUOTIENT(ROWS($B$2:B644)-1,7)),"mmm")))</f>
        <v/>
      </c>
    </row>
    <row r="646" spans="2:3">
      <c r="B646" s="2" t="str">
        <f t="shared" ca="1" si="19"/>
        <v/>
      </c>
      <c r="C646" s="2" t="str">
        <f ca="1">IF(EDATE(DATE(2019,10,1),QUOTIENT(ROWS($B$2:B645)-1,7))&gt;TODAY(),"",PROPER(TEXT(EDATE(DATE(2019,10,1),QUOTIENT(ROWS($B$2:B645)-1,7)),"mmm")))</f>
        <v/>
      </c>
    </row>
    <row r="647" spans="2:3">
      <c r="B647" s="2" t="str">
        <f t="shared" ca="1" si="19"/>
        <v/>
      </c>
      <c r="C647" s="2" t="str">
        <f ca="1">IF(EDATE(DATE(2019,10,1),QUOTIENT(ROWS($B$2:B646)-1,7))&gt;TODAY(),"",PROPER(TEXT(EDATE(DATE(2019,10,1),QUOTIENT(ROWS($B$2:B646)-1,7)),"mmm")))</f>
        <v/>
      </c>
    </row>
    <row r="648" spans="2:3">
      <c r="B648" s="2" t="str">
        <f t="shared" ca="1" si="19"/>
        <v/>
      </c>
      <c r="C648" s="2" t="str">
        <f ca="1">IF(EDATE(DATE(2019,10,1),QUOTIENT(ROWS($B$2:B647)-1,7))&gt;TODAY(),"",PROPER(TEXT(EDATE(DATE(2019,10,1),QUOTIENT(ROWS($B$2:B647)-1,7)),"mmm")))</f>
        <v/>
      </c>
    </row>
    <row r="649" spans="2:3">
      <c r="B649" s="2" t="str">
        <f t="shared" ca="1" si="19"/>
        <v/>
      </c>
      <c r="C649" s="2" t="str">
        <f ca="1">IF(EDATE(DATE(2019,10,1),QUOTIENT(ROWS($B$2:B648)-1,7))&gt;TODAY(),"",PROPER(TEXT(EDATE(DATE(2019,10,1),QUOTIENT(ROWS($B$2:B648)-1,7)),"mmm")))</f>
        <v/>
      </c>
    </row>
    <row r="650" spans="2:3">
      <c r="B650" s="2" t="str">
        <f t="shared" ca="1" si="19"/>
        <v/>
      </c>
      <c r="C650" s="2" t="str">
        <f ca="1">IF(EDATE(DATE(2019,10,1),QUOTIENT(ROWS($B$2:B649)-1,7))&gt;TODAY(),"",PROPER(TEXT(EDATE(DATE(2019,10,1),QUOTIENT(ROWS($B$2:B649)-1,7)),"mmm")))</f>
        <v/>
      </c>
    </row>
    <row r="651" spans="2:3">
      <c r="B651" s="2"/>
    </row>
    <row r="652" spans="2:3">
      <c r="B652" s="2"/>
    </row>
    <row r="653" spans="2:3">
      <c r="B653" s="2"/>
    </row>
    <row r="654" spans="2:3">
      <c r="B654" s="2"/>
    </row>
    <row r="655" spans="2:3">
      <c r="B655" s="2"/>
    </row>
  </sheetData>
  <autoFilter ref="B2:M583" xr:uid="{7F15FB40-2432-498C-8E02-9B1E9B18F48A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C26C-B499-46C1-B11B-3239C73A5312}">
  <dimension ref="B1:N263"/>
  <sheetViews>
    <sheetView topLeftCell="A207" zoomScale="92" workbookViewId="0">
      <selection activeCell="K225" sqref="K225"/>
    </sheetView>
  </sheetViews>
  <sheetFormatPr defaultColWidth="8.7109375" defaultRowHeight="14.45"/>
  <cols>
    <col min="2" max="2" width="13.140625" customWidth="1"/>
    <col min="3" max="3" width="13.28515625" customWidth="1"/>
    <col min="4" max="4" width="11.140625" customWidth="1"/>
    <col min="5" max="5" width="14" customWidth="1"/>
    <col min="6" max="6" width="25.7109375" style="16" bestFit="1" customWidth="1"/>
    <col min="7" max="7" width="13.5703125" style="12" customWidth="1"/>
    <col min="8" max="8" width="12.28515625" style="16" customWidth="1"/>
    <col min="9" max="9" width="28.7109375" bestFit="1" customWidth="1"/>
    <col min="10" max="10" width="23" style="5" bestFit="1" customWidth="1"/>
    <col min="11" max="11" width="15.42578125" bestFit="1" customWidth="1"/>
    <col min="12" max="12" width="21" bestFit="1" customWidth="1"/>
    <col min="13" max="13" width="20.140625" bestFit="1" customWidth="1"/>
    <col min="14" max="14" width="15.28515625" bestFit="1" customWidth="1"/>
  </cols>
  <sheetData>
    <row r="1" spans="2:14">
      <c r="D1" s="59" t="s">
        <v>39</v>
      </c>
      <c r="E1" s="59"/>
      <c r="I1" s="41" t="s">
        <v>40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8" t="s">
        <v>5</v>
      </c>
      <c r="G2" s="1" t="s">
        <v>41</v>
      </c>
      <c r="H2" s="18" t="s">
        <v>7</v>
      </c>
      <c r="I2" s="35" t="s">
        <v>8</v>
      </c>
      <c r="J2" s="27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>
        <v>2019</v>
      </c>
      <c r="C3" s="2" t="s">
        <v>14</v>
      </c>
      <c r="D3" s="2"/>
      <c r="E3" s="2"/>
      <c r="F3" s="7" t="s">
        <v>42</v>
      </c>
      <c r="G3" s="23">
        <v>0.85</v>
      </c>
      <c r="H3" s="17">
        <v>1193455</v>
      </c>
      <c r="I3" s="36">
        <f>G3*H3</f>
        <v>1014436.75</v>
      </c>
      <c r="J3" s="25"/>
      <c r="K3" s="52">
        <f t="shared" ref="K3:K66" si="0">IFERROR(I3/J3,0)</f>
        <v>0</v>
      </c>
      <c r="L3" s="2"/>
      <c r="N3" s="49">
        <f>M3*I3</f>
        <v>0</v>
      </c>
    </row>
    <row r="4" spans="2:14">
      <c r="B4" s="2">
        <v>2019</v>
      </c>
      <c r="C4" s="2" t="s">
        <v>14</v>
      </c>
      <c r="D4" s="2"/>
      <c r="E4" s="2"/>
      <c r="F4" s="7" t="s">
        <v>43</v>
      </c>
      <c r="G4" s="23">
        <v>0.15</v>
      </c>
      <c r="H4" s="17">
        <v>1193455</v>
      </c>
      <c r="I4" s="36">
        <f t="shared" ref="I4:I67" si="1">G4*H4</f>
        <v>179018.25</v>
      </c>
      <c r="J4" s="25"/>
      <c r="K4" s="52">
        <f t="shared" si="0"/>
        <v>0</v>
      </c>
      <c r="L4" s="2"/>
      <c r="N4" s="49">
        <f t="shared" ref="N3:N66" si="2">M4*I4</f>
        <v>0</v>
      </c>
    </row>
    <row r="5" spans="2:14">
      <c r="B5" s="2">
        <v>2019</v>
      </c>
      <c r="C5" s="2" t="s">
        <v>14</v>
      </c>
      <c r="D5" s="2"/>
      <c r="E5" s="2"/>
      <c r="F5" s="22" t="s">
        <v>44</v>
      </c>
      <c r="G5" s="24">
        <v>1</v>
      </c>
      <c r="H5" s="17">
        <v>1193455</v>
      </c>
      <c r="I5" s="36">
        <f t="shared" si="1"/>
        <v>1193455</v>
      </c>
      <c r="J5" s="25">
        <v>56766</v>
      </c>
      <c r="K5" s="52">
        <f t="shared" si="0"/>
        <v>21.024116548638268</v>
      </c>
      <c r="L5" s="2"/>
      <c r="M5" s="49"/>
      <c r="N5" s="49">
        <f t="shared" si="2"/>
        <v>0</v>
      </c>
    </row>
    <row r="6" spans="2:14">
      <c r="B6" s="2">
        <v>2019</v>
      </c>
      <c r="C6" s="2" t="s">
        <v>21</v>
      </c>
      <c r="D6" s="2"/>
      <c r="E6" s="2"/>
      <c r="F6" s="7" t="s">
        <v>42</v>
      </c>
      <c r="G6" s="3">
        <v>0.85</v>
      </c>
      <c r="H6" s="17">
        <v>1174219</v>
      </c>
      <c r="I6" s="37">
        <f t="shared" si="1"/>
        <v>998086.15</v>
      </c>
      <c r="K6" s="52">
        <f t="shared" si="0"/>
        <v>0</v>
      </c>
      <c r="N6" s="49">
        <f t="shared" si="2"/>
        <v>0</v>
      </c>
    </row>
    <row r="7" spans="2:14">
      <c r="B7" s="2">
        <v>2019</v>
      </c>
      <c r="C7" s="2" t="s">
        <v>21</v>
      </c>
      <c r="D7" s="2"/>
      <c r="E7" s="2"/>
      <c r="F7" s="7" t="s">
        <v>43</v>
      </c>
      <c r="G7" s="3">
        <v>0.15</v>
      </c>
      <c r="H7" s="17">
        <v>1174219</v>
      </c>
      <c r="I7" s="37">
        <f t="shared" si="1"/>
        <v>176132.85</v>
      </c>
      <c r="K7" s="52">
        <f t="shared" si="0"/>
        <v>0</v>
      </c>
      <c r="N7" s="49">
        <f t="shared" si="2"/>
        <v>0</v>
      </c>
    </row>
    <row r="8" spans="2:14">
      <c r="B8" s="2">
        <v>2019</v>
      </c>
      <c r="C8" s="2" t="s">
        <v>21</v>
      </c>
      <c r="D8" s="2"/>
      <c r="E8" s="2"/>
      <c r="F8" s="22" t="s">
        <v>44</v>
      </c>
      <c r="G8" s="2">
        <v>1</v>
      </c>
      <c r="H8" s="17">
        <v>1174219</v>
      </c>
      <c r="I8" s="37">
        <f t="shared" si="1"/>
        <v>1174219</v>
      </c>
      <c r="J8" s="5">
        <v>57300</v>
      </c>
      <c r="K8" s="52">
        <f t="shared" si="0"/>
        <v>20.492478184991274</v>
      </c>
      <c r="M8" s="49"/>
      <c r="N8" s="49">
        <f t="shared" si="2"/>
        <v>0</v>
      </c>
    </row>
    <row r="9" spans="2:14">
      <c r="B9" s="2">
        <v>2019</v>
      </c>
      <c r="C9" s="2" t="s">
        <v>22</v>
      </c>
      <c r="D9" s="2"/>
      <c r="E9" s="2"/>
      <c r="F9" s="7" t="s">
        <v>42</v>
      </c>
      <c r="G9" s="3">
        <v>0.85</v>
      </c>
      <c r="H9" s="17">
        <v>1185312</v>
      </c>
      <c r="I9" s="37">
        <f t="shared" si="1"/>
        <v>1007515.2</v>
      </c>
      <c r="K9" s="52">
        <f t="shared" si="0"/>
        <v>0</v>
      </c>
      <c r="N9" s="49">
        <f t="shared" si="2"/>
        <v>0</v>
      </c>
    </row>
    <row r="10" spans="2:14">
      <c r="B10" s="2">
        <v>2019</v>
      </c>
      <c r="C10" s="2" t="s">
        <v>22</v>
      </c>
      <c r="D10" s="2"/>
      <c r="E10" s="2"/>
      <c r="F10" s="7" t="s">
        <v>43</v>
      </c>
      <c r="G10" s="3">
        <v>0.15</v>
      </c>
      <c r="H10" s="17">
        <v>1185312</v>
      </c>
      <c r="I10" s="37">
        <f t="shared" si="1"/>
        <v>177796.8</v>
      </c>
      <c r="K10" s="52">
        <f t="shared" si="0"/>
        <v>0</v>
      </c>
      <c r="N10" s="49">
        <f t="shared" si="2"/>
        <v>0</v>
      </c>
    </row>
    <row r="11" spans="2:14">
      <c r="B11" s="2">
        <v>2019</v>
      </c>
      <c r="C11" s="2" t="s">
        <v>22</v>
      </c>
      <c r="D11" s="2"/>
      <c r="E11" s="2"/>
      <c r="F11" s="22" t="s">
        <v>44</v>
      </c>
      <c r="G11" s="2">
        <v>1</v>
      </c>
      <c r="H11" s="17">
        <v>1185312</v>
      </c>
      <c r="I11" s="37">
        <f t="shared" si="1"/>
        <v>1185312</v>
      </c>
      <c r="J11" s="5">
        <v>60340</v>
      </c>
      <c r="K11" s="52">
        <f t="shared" si="0"/>
        <v>19.643884653629435</v>
      </c>
      <c r="M11" s="49"/>
      <c r="N11" s="49">
        <f t="shared" si="2"/>
        <v>0</v>
      </c>
    </row>
    <row r="12" spans="2:14">
      <c r="B12" s="2">
        <v>2020</v>
      </c>
      <c r="C12" s="2" t="s">
        <v>23</v>
      </c>
      <c r="D12" s="2"/>
      <c r="E12" s="2"/>
      <c r="F12" s="7" t="s">
        <v>42</v>
      </c>
      <c r="G12" s="3">
        <v>0.85</v>
      </c>
      <c r="H12" s="17">
        <v>1191870</v>
      </c>
      <c r="I12" s="37">
        <f t="shared" si="1"/>
        <v>1013089.5</v>
      </c>
      <c r="K12" s="52">
        <f t="shared" si="0"/>
        <v>0</v>
      </c>
      <c r="N12" s="49">
        <f t="shared" si="2"/>
        <v>0</v>
      </c>
    </row>
    <row r="13" spans="2:14">
      <c r="B13" s="2">
        <v>2020</v>
      </c>
      <c r="C13" s="2" t="s">
        <v>23</v>
      </c>
      <c r="D13" s="2"/>
      <c r="E13" s="2"/>
      <c r="F13" s="7" t="s">
        <v>43</v>
      </c>
      <c r="G13" s="3">
        <v>0.15</v>
      </c>
      <c r="H13" s="17">
        <v>1191870</v>
      </c>
      <c r="I13" s="37">
        <f t="shared" si="1"/>
        <v>178780.5</v>
      </c>
      <c r="K13" s="52">
        <f t="shared" si="0"/>
        <v>0</v>
      </c>
      <c r="N13" s="49">
        <f t="shared" si="2"/>
        <v>0</v>
      </c>
    </row>
    <row r="14" spans="2:14">
      <c r="B14" s="2">
        <v>2020</v>
      </c>
      <c r="C14" s="2" t="s">
        <v>23</v>
      </c>
      <c r="D14" s="2"/>
      <c r="E14" s="2"/>
      <c r="F14" s="22" t="s">
        <v>44</v>
      </c>
      <c r="G14" s="2">
        <v>1</v>
      </c>
      <c r="H14" s="17">
        <v>1191870</v>
      </c>
      <c r="I14" s="37">
        <f t="shared" si="1"/>
        <v>1191870</v>
      </c>
      <c r="J14" s="5">
        <v>58622</v>
      </c>
      <c r="K14" s="52">
        <f t="shared" si="0"/>
        <v>20.331445532393982</v>
      </c>
      <c r="M14" s="49"/>
      <c r="N14" s="49">
        <f t="shared" si="2"/>
        <v>0</v>
      </c>
    </row>
    <row r="15" spans="2:14">
      <c r="B15" s="2">
        <v>2020</v>
      </c>
      <c r="C15" s="2" t="s">
        <v>24</v>
      </c>
      <c r="D15" s="2"/>
      <c r="E15" s="2"/>
      <c r="F15" s="7" t="s">
        <v>42</v>
      </c>
      <c r="G15" s="3">
        <v>0.85</v>
      </c>
      <c r="H15" s="17">
        <v>1277520</v>
      </c>
      <c r="I15" s="37">
        <f t="shared" si="1"/>
        <v>1085892</v>
      </c>
      <c r="K15" s="52">
        <f t="shared" si="0"/>
        <v>0</v>
      </c>
      <c r="N15" s="49">
        <f t="shared" si="2"/>
        <v>0</v>
      </c>
    </row>
    <row r="16" spans="2:14">
      <c r="B16" s="2">
        <v>2020</v>
      </c>
      <c r="C16" s="2" t="s">
        <v>24</v>
      </c>
      <c r="D16" s="2"/>
      <c r="E16" s="2"/>
      <c r="F16" s="7" t="s">
        <v>43</v>
      </c>
      <c r="G16" s="3">
        <v>0.15</v>
      </c>
      <c r="H16" s="17">
        <v>1277520</v>
      </c>
      <c r="I16" s="37">
        <f t="shared" si="1"/>
        <v>191628</v>
      </c>
      <c r="K16" s="52">
        <f t="shared" si="0"/>
        <v>0</v>
      </c>
      <c r="N16" s="49">
        <f t="shared" si="2"/>
        <v>0</v>
      </c>
    </row>
    <row r="17" spans="2:14">
      <c r="B17" s="2">
        <v>2020</v>
      </c>
      <c r="C17" s="2" t="s">
        <v>24</v>
      </c>
      <c r="D17" s="2"/>
      <c r="E17" s="2"/>
      <c r="F17" s="22" t="s">
        <v>44</v>
      </c>
      <c r="G17" s="2">
        <v>1</v>
      </c>
      <c r="H17" s="17">
        <v>1277520</v>
      </c>
      <c r="I17" s="37">
        <f t="shared" si="1"/>
        <v>1277520</v>
      </c>
      <c r="J17" s="5">
        <v>67409</v>
      </c>
      <c r="K17" s="52">
        <f t="shared" si="0"/>
        <v>18.951772018573187</v>
      </c>
      <c r="M17" s="49"/>
      <c r="N17" s="49">
        <f t="shared" si="2"/>
        <v>0</v>
      </c>
    </row>
    <row r="18" spans="2:14">
      <c r="B18" s="2">
        <v>2020</v>
      </c>
      <c r="C18" s="2" t="s">
        <v>25</v>
      </c>
      <c r="D18" s="2"/>
      <c r="E18" s="2"/>
      <c r="F18" s="7" t="s">
        <v>42</v>
      </c>
      <c r="G18" s="3">
        <v>0.85</v>
      </c>
      <c r="H18" s="17">
        <v>1136196</v>
      </c>
      <c r="I18" s="37">
        <f t="shared" si="1"/>
        <v>965766.6</v>
      </c>
      <c r="K18" s="52">
        <f t="shared" si="0"/>
        <v>0</v>
      </c>
      <c r="N18" s="49">
        <f t="shared" si="2"/>
        <v>0</v>
      </c>
    </row>
    <row r="19" spans="2:14">
      <c r="B19" s="2">
        <v>2020</v>
      </c>
      <c r="C19" s="2" t="s">
        <v>25</v>
      </c>
      <c r="D19" s="2"/>
      <c r="E19" s="2"/>
      <c r="F19" s="7" t="s">
        <v>43</v>
      </c>
      <c r="G19" s="3">
        <v>0.15</v>
      </c>
      <c r="H19" s="17">
        <v>1136196</v>
      </c>
      <c r="I19" s="37">
        <f t="shared" si="1"/>
        <v>170429.4</v>
      </c>
      <c r="K19" s="52">
        <f t="shared" si="0"/>
        <v>0</v>
      </c>
      <c r="N19" s="49">
        <f t="shared" si="2"/>
        <v>0</v>
      </c>
    </row>
    <row r="20" spans="2:14">
      <c r="B20" s="2">
        <v>2020</v>
      </c>
      <c r="C20" s="2" t="s">
        <v>25</v>
      </c>
      <c r="D20" s="2"/>
      <c r="E20" s="2"/>
      <c r="F20" s="22" t="s">
        <v>44</v>
      </c>
      <c r="G20" s="2">
        <v>1</v>
      </c>
      <c r="H20" s="17">
        <v>1136196</v>
      </c>
      <c r="I20" s="37">
        <f t="shared" si="1"/>
        <v>1136196</v>
      </c>
      <c r="J20" s="5">
        <v>59335</v>
      </c>
      <c r="K20" s="52">
        <f t="shared" si="0"/>
        <v>19.148832897952303</v>
      </c>
      <c r="M20" s="49"/>
      <c r="N20" s="49">
        <f t="shared" si="2"/>
        <v>0</v>
      </c>
    </row>
    <row r="21" spans="2:14">
      <c r="B21" s="2">
        <v>2020</v>
      </c>
      <c r="C21" s="2" t="s">
        <v>26</v>
      </c>
      <c r="D21" s="2"/>
      <c r="E21" s="2"/>
      <c r="F21" s="7" t="s">
        <v>42</v>
      </c>
      <c r="G21" s="3">
        <v>0.85</v>
      </c>
      <c r="H21" s="17">
        <v>515680</v>
      </c>
      <c r="I21" s="37">
        <f t="shared" si="1"/>
        <v>438328</v>
      </c>
      <c r="K21" s="52">
        <f t="shared" si="0"/>
        <v>0</v>
      </c>
      <c r="N21" s="49">
        <f t="shared" si="2"/>
        <v>0</v>
      </c>
    </row>
    <row r="22" spans="2:14">
      <c r="B22" s="2">
        <v>2020</v>
      </c>
      <c r="C22" s="2" t="s">
        <v>26</v>
      </c>
      <c r="D22" s="2"/>
      <c r="E22" s="2"/>
      <c r="F22" s="7" t="s">
        <v>43</v>
      </c>
      <c r="G22" s="3">
        <v>0.15</v>
      </c>
      <c r="H22" s="17">
        <v>515680</v>
      </c>
      <c r="I22" s="37">
        <f t="shared" si="1"/>
        <v>77352</v>
      </c>
      <c r="K22" s="52">
        <f t="shared" si="0"/>
        <v>0</v>
      </c>
      <c r="N22" s="49">
        <f t="shared" si="2"/>
        <v>0</v>
      </c>
    </row>
    <row r="23" spans="2:14">
      <c r="B23" s="2">
        <v>2020</v>
      </c>
      <c r="C23" s="2" t="s">
        <v>26</v>
      </c>
      <c r="D23" s="2"/>
      <c r="E23" s="2"/>
      <c r="F23" s="22" t="s">
        <v>44</v>
      </c>
      <c r="G23" s="2">
        <v>1</v>
      </c>
      <c r="H23" s="17">
        <v>515680</v>
      </c>
      <c r="I23" s="37">
        <f t="shared" si="1"/>
        <v>515680</v>
      </c>
      <c r="J23" s="5">
        <v>36741</v>
      </c>
      <c r="K23" s="52">
        <f t="shared" si="0"/>
        <v>14.035546120138266</v>
      </c>
      <c r="M23" s="49"/>
      <c r="N23" s="49">
        <f t="shared" si="2"/>
        <v>0</v>
      </c>
    </row>
    <row r="24" spans="2:14">
      <c r="B24" s="2">
        <v>2020</v>
      </c>
      <c r="C24" s="2" t="s">
        <v>27</v>
      </c>
      <c r="D24" s="2"/>
      <c r="E24" s="2"/>
      <c r="F24" s="7" t="s">
        <v>42</v>
      </c>
      <c r="G24" s="3">
        <v>0.85</v>
      </c>
      <c r="H24" s="17">
        <v>498397</v>
      </c>
      <c r="I24" s="37">
        <f t="shared" si="1"/>
        <v>423637.45</v>
      </c>
      <c r="K24" s="52">
        <f t="shared" si="0"/>
        <v>0</v>
      </c>
      <c r="N24" s="49">
        <f t="shared" si="2"/>
        <v>0</v>
      </c>
    </row>
    <row r="25" spans="2:14">
      <c r="B25" s="2">
        <v>2020</v>
      </c>
      <c r="C25" s="2" t="s">
        <v>27</v>
      </c>
      <c r="D25" s="2"/>
      <c r="E25" s="2"/>
      <c r="F25" s="7" t="s">
        <v>43</v>
      </c>
      <c r="G25" s="3">
        <v>0.15</v>
      </c>
      <c r="H25" s="17">
        <v>498397</v>
      </c>
      <c r="I25" s="37">
        <f t="shared" si="1"/>
        <v>74759.55</v>
      </c>
      <c r="K25" s="52">
        <f t="shared" si="0"/>
        <v>0</v>
      </c>
      <c r="N25" s="49">
        <f t="shared" si="2"/>
        <v>0</v>
      </c>
    </row>
    <row r="26" spans="2:14">
      <c r="B26" s="2">
        <v>2020</v>
      </c>
      <c r="C26" s="2" t="s">
        <v>27</v>
      </c>
      <c r="D26" s="2"/>
      <c r="E26" s="2"/>
      <c r="F26" s="22" t="s">
        <v>44</v>
      </c>
      <c r="G26" s="2">
        <v>1</v>
      </c>
      <c r="H26" s="17">
        <v>498397</v>
      </c>
      <c r="I26" s="37">
        <f t="shared" si="1"/>
        <v>498397</v>
      </c>
      <c r="J26" s="5">
        <v>29408</v>
      </c>
      <c r="K26" s="52">
        <f t="shared" si="0"/>
        <v>16.94766730141458</v>
      </c>
      <c r="M26" s="49"/>
      <c r="N26" s="49">
        <f t="shared" si="2"/>
        <v>0</v>
      </c>
    </row>
    <row r="27" spans="2:14">
      <c r="B27" s="2">
        <v>2020</v>
      </c>
      <c r="C27" s="2" t="s">
        <v>28</v>
      </c>
      <c r="D27" s="2"/>
      <c r="E27" s="2"/>
      <c r="F27" s="7" t="s">
        <v>42</v>
      </c>
      <c r="G27" s="3">
        <v>0.85</v>
      </c>
      <c r="H27" s="17">
        <v>1151982</v>
      </c>
      <c r="I27" s="37">
        <f t="shared" si="1"/>
        <v>979184.7</v>
      </c>
      <c r="K27" s="52">
        <f t="shared" si="0"/>
        <v>0</v>
      </c>
      <c r="N27" s="49">
        <f t="shared" si="2"/>
        <v>0</v>
      </c>
    </row>
    <row r="28" spans="2:14">
      <c r="B28" s="2">
        <v>2020</v>
      </c>
      <c r="C28" s="2" t="s">
        <v>28</v>
      </c>
      <c r="D28" s="2"/>
      <c r="E28" s="2"/>
      <c r="F28" s="7" t="s">
        <v>43</v>
      </c>
      <c r="G28" s="3">
        <v>0.15</v>
      </c>
      <c r="H28" s="17">
        <v>1151982</v>
      </c>
      <c r="I28" s="37">
        <f t="shared" si="1"/>
        <v>172797.3</v>
      </c>
      <c r="K28" s="52">
        <f t="shared" si="0"/>
        <v>0</v>
      </c>
      <c r="N28" s="49">
        <f t="shared" si="2"/>
        <v>0</v>
      </c>
    </row>
    <row r="29" spans="2:14">
      <c r="B29" s="2">
        <v>2020</v>
      </c>
      <c r="C29" s="2" t="s">
        <v>28</v>
      </c>
      <c r="D29" s="2"/>
      <c r="E29" s="2"/>
      <c r="F29" s="22" t="s">
        <v>44</v>
      </c>
      <c r="G29" s="2">
        <v>1</v>
      </c>
      <c r="H29" s="17">
        <v>1151982</v>
      </c>
      <c r="I29" s="37">
        <f t="shared" si="1"/>
        <v>1151982</v>
      </c>
      <c r="J29" s="5">
        <v>60051</v>
      </c>
      <c r="K29" s="52">
        <f t="shared" si="0"/>
        <v>19.183394115002248</v>
      </c>
      <c r="M29" s="49"/>
      <c r="N29" s="49">
        <f t="shared" si="2"/>
        <v>0</v>
      </c>
    </row>
    <row r="30" spans="2:14">
      <c r="B30" s="2">
        <v>2020</v>
      </c>
      <c r="C30" s="2" t="s">
        <v>29</v>
      </c>
      <c r="D30" s="2"/>
      <c r="E30" s="2"/>
      <c r="F30" s="7" t="s">
        <v>42</v>
      </c>
      <c r="G30" s="3">
        <v>0.85</v>
      </c>
      <c r="H30" s="17">
        <v>1267634</v>
      </c>
      <c r="I30" s="37">
        <f t="shared" si="1"/>
        <v>1077488.8999999999</v>
      </c>
      <c r="K30" s="52">
        <f t="shared" si="0"/>
        <v>0</v>
      </c>
      <c r="N30" s="49">
        <f t="shared" si="2"/>
        <v>0</v>
      </c>
    </row>
    <row r="31" spans="2:14">
      <c r="B31" s="2">
        <v>2020</v>
      </c>
      <c r="C31" s="2" t="s">
        <v>29</v>
      </c>
      <c r="D31" s="2"/>
      <c r="E31" s="2"/>
      <c r="F31" s="7" t="s">
        <v>43</v>
      </c>
      <c r="G31" s="3">
        <v>0.15</v>
      </c>
      <c r="H31" s="17">
        <v>1267634</v>
      </c>
      <c r="I31" s="37">
        <f t="shared" si="1"/>
        <v>190145.1</v>
      </c>
      <c r="K31" s="52">
        <f t="shared" si="0"/>
        <v>0</v>
      </c>
      <c r="N31" s="49">
        <f t="shared" si="2"/>
        <v>0</v>
      </c>
    </row>
    <row r="32" spans="2:14">
      <c r="B32" s="2">
        <v>2020</v>
      </c>
      <c r="C32" s="2" t="s">
        <v>29</v>
      </c>
      <c r="D32" s="2"/>
      <c r="E32" s="2"/>
      <c r="F32" s="22" t="s">
        <v>44</v>
      </c>
      <c r="G32" s="2">
        <v>1</v>
      </c>
      <c r="H32" s="17">
        <v>1267634</v>
      </c>
      <c r="I32" s="37">
        <f t="shared" si="1"/>
        <v>1267634</v>
      </c>
      <c r="J32" s="5">
        <v>71808</v>
      </c>
      <c r="K32" s="52">
        <f t="shared" si="0"/>
        <v>17.653102718360071</v>
      </c>
      <c r="M32" s="49"/>
      <c r="N32" s="49">
        <f t="shared" si="2"/>
        <v>0</v>
      </c>
    </row>
    <row r="33" spans="2:14">
      <c r="B33" s="2">
        <v>2020</v>
      </c>
      <c r="C33" s="2" t="s">
        <v>30</v>
      </c>
      <c r="D33" s="2"/>
      <c r="E33" s="2"/>
      <c r="F33" s="7" t="s">
        <v>42</v>
      </c>
      <c r="G33" s="3">
        <v>0.85</v>
      </c>
      <c r="H33" s="17">
        <v>1305753</v>
      </c>
      <c r="I33" s="37">
        <f t="shared" si="1"/>
        <v>1109890.05</v>
      </c>
      <c r="K33" s="52">
        <f t="shared" si="0"/>
        <v>0</v>
      </c>
      <c r="N33" s="49">
        <f t="shared" si="2"/>
        <v>0</v>
      </c>
    </row>
    <row r="34" spans="2:14">
      <c r="B34" s="2">
        <v>2020</v>
      </c>
      <c r="C34" s="2" t="s">
        <v>30</v>
      </c>
      <c r="D34" s="2"/>
      <c r="E34" s="2"/>
      <c r="F34" s="7" t="s">
        <v>43</v>
      </c>
      <c r="G34" s="3">
        <v>0.15</v>
      </c>
      <c r="H34" s="17">
        <v>1305753</v>
      </c>
      <c r="I34" s="37">
        <f t="shared" si="1"/>
        <v>195862.94999999998</v>
      </c>
      <c r="K34" s="52">
        <f t="shared" si="0"/>
        <v>0</v>
      </c>
      <c r="N34" s="49">
        <f t="shared" si="2"/>
        <v>0</v>
      </c>
    </row>
    <row r="35" spans="2:14">
      <c r="B35" s="2">
        <v>2020</v>
      </c>
      <c r="C35" s="2" t="s">
        <v>30</v>
      </c>
      <c r="D35" s="2"/>
      <c r="E35" s="2"/>
      <c r="F35" s="22" t="s">
        <v>44</v>
      </c>
      <c r="G35" s="2">
        <v>1</v>
      </c>
      <c r="H35" s="17">
        <v>1305753</v>
      </c>
      <c r="I35" s="37">
        <f t="shared" si="1"/>
        <v>1305753</v>
      </c>
      <c r="J35" s="48">
        <v>72775</v>
      </c>
      <c r="K35" s="52">
        <f t="shared" si="0"/>
        <v>17.942329096530401</v>
      </c>
      <c r="M35" s="49"/>
      <c r="N35" s="49">
        <f t="shared" si="2"/>
        <v>0</v>
      </c>
    </row>
    <row r="36" spans="2:14">
      <c r="B36" s="2">
        <v>2020</v>
      </c>
      <c r="C36" s="2" t="s">
        <v>31</v>
      </c>
      <c r="D36" s="2"/>
      <c r="E36" s="2"/>
      <c r="F36" s="7" t="s">
        <v>42</v>
      </c>
      <c r="G36" s="3">
        <v>0.85</v>
      </c>
      <c r="H36" s="17">
        <v>1102673</v>
      </c>
      <c r="I36" s="37">
        <f t="shared" si="1"/>
        <v>937272.04999999993</v>
      </c>
      <c r="K36" s="52">
        <f t="shared" si="0"/>
        <v>0</v>
      </c>
      <c r="N36" s="49">
        <f t="shared" si="2"/>
        <v>0</v>
      </c>
    </row>
    <row r="37" spans="2:14">
      <c r="B37" s="2">
        <v>2020</v>
      </c>
      <c r="C37" s="2" t="s">
        <v>31</v>
      </c>
      <c r="D37" s="2"/>
      <c r="E37" s="2"/>
      <c r="F37" s="7" t="s">
        <v>43</v>
      </c>
      <c r="G37" s="3">
        <v>0.15</v>
      </c>
      <c r="H37" s="17">
        <v>1102673</v>
      </c>
      <c r="I37" s="37">
        <f t="shared" si="1"/>
        <v>165400.94999999998</v>
      </c>
      <c r="K37" s="52">
        <f t="shared" si="0"/>
        <v>0</v>
      </c>
      <c r="N37" s="49">
        <f t="shared" si="2"/>
        <v>0</v>
      </c>
    </row>
    <row r="38" spans="2:14">
      <c r="B38" s="2">
        <v>2020</v>
      </c>
      <c r="C38" s="2" t="s">
        <v>31</v>
      </c>
      <c r="D38" s="2"/>
      <c r="E38" s="2"/>
      <c r="F38" s="22" t="s">
        <v>44</v>
      </c>
      <c r="G38" s="2">
        <v>1</v>
      </c>
      <c r="H38" s="17">
        <v>1102673</v>
      </c>
      <c r="I38" s="37">
        <f t="shared" si="1"/>
        <v>1102673</v>
      </c>
      <c r="J38" s="5">
        <v>76925</v>
      </c>
      <c r="K38" s="52">
        <f t="shared" si="0"/>
        <v>14.334390640233995</v>
      </c>
      <c r="M38" s="49"/>
      <c r="N38" s="49">
        <f t="shared" si="2"/>
        <v>0</v>
      </c>
    </row>
    <row r="39" spans="2:14">
      <c r="B39" s="2">
        <v>2020</v>
      </c>
      <c r="C39" s="2" t="s">
        <v>14</v>
      </c>
      <c r="D39" s="2"/>
      <c r="E39" s="2"/>
      <c r="F39" s="7" t="s">
        <v>42</v>
      </c>
      <c r="G39" s="3">
        <v>0.85</v>
      </c>
      <c r="H39" s="17">
        <v>1424126</v>
      </c>
      <c r="I39" s="37">
        <f t="shared" si="1"/>
        <v>1210507.0999999999</v>
      </c>
      <c r="K39" s="52">
        <f t="shared" si="0"/>
        <v>0</v>
      </c>
      <c r="N39" s="49">
        <f t="shared" si="2"/>
        <v>0</v>
      </c>
    </row>
    <row r="40" spans="2:14">
      <c r="B40" s="2">
        <v>2020</v>
      </c>
      <c r="C40" s="2" t="s">
        <v>14</v>
      </c>
      <c r="D40" s="2"/>
      <c r="E40" s="2"/>
      <c r="F40" s="7" t="s">
        <v>43</v>
      </c>
      <c r="G40" s="3">
        <v>0.15</v>
      </c>
      <c r="H40" s="17">
        <v>1424126</v>
      </c>
      <c r="I40" s="37">
        <f t="shared" si="1"/>
        <v>213618.9</v>
      </c>
      <c r="K40" s="52">
        <f t="shared" si="0"/>
        <v>0</v>
      </c>
      <c r="N40" s="49">
        <f t="shared" si="2"/>
        <v>0</v>
      </c>
    </row>
    <row r="41" spans="2:14">
      <c r="B41" s="2">
        <v>2020</v>
      </c>
      <c r="C41" s="2" t="s">
        <v>14</v>
      </c>
      <c r="D41" s="2"/>
      <c r="E41" s="2"/>
      <c r="F41" s="22" t="s">
        <v>44</v>
      </c>
      <c r="G41" s="2">
        <v>1</v>
      </c>
      <c r="H41" s="17">
        <v>1424126</v>
      </c>
      <c r="I41" s="37">
        <f t="shared" si="1"/>
        <v>1424126</v>
      </c>
      <c r="J41" s="5">
        <v>75370</v>
      </c>
      <c r="K41" s="52">
        <f t="shared" si="0"/>
        <v>18.895130688602894</v>
      </c>
      <c r="M41" s="49"/>
      <c r="N41" s="49">
        <f t="shared" si="2"/>
        <v>0</v>
      </c>
    </row>
    <row r="42" spans="2:14">
      <c r="B42" s="2">
        <v>2020</v>
      </c>
      <c r="C42" s="2" t="s">
        <v>21</v>
      </c>
      <c r="D42" s="2"/>
      <c r="E42" s="2"/>
      <c r="F42" s="7" t="s">
        <v>42</v>
      </c>
      <c r="G42" s="3">
        <v>0.85</v>
      </c>
      <c r="H42" s="17">
        <v>1405438</v>
      </c>
      <c r="I42" s="37">
        <f t="shared" si="1"/>
        <v>1194622.3</v>
      </c>
      <c r="K42" s="52">
        <f t="shared" si="0"/>
        <v>0</v>
      </c>
      <c r="N42" s="49">
        <f t="shared" si="2"/>
        <v>0</v>
      </c>
    </row>
    <row r="43" spans="2:14">
      <c r="B43" s="2">
        <v>2020</v>
      </c>
      <c r="C43" s="2" t="s">
        <v>21</v>
      </c>
      <c r="D43" s="2"/>
      <c r="E43" s="2"/>
      <c r="F43" s="7" t="s">
        <v>43</v>
      </c>
      <c r="G43" s="3">
        <v>0.15</v>
      </c>
      <c r="H43" s="17">
        <v>1405438</v>
      </c>
      <c r="I43" s="37">
        <f t="shared" si="1"/>
        <v>210815.69999999998</v>
      </c>
      <c r="K43" s="52">
        <f t="shared" si="0"/>
        <v>0</v>
      </c>
      <c r="N43" s="49">
        <f t="shared" si="2"/>
        <v>0</v>
      </c>
    </row>
    <row r="44" spans="2:14">
      <c r="B44" s="2">
        <v>2020</v>
      </c>
      <c r="C44" s="2" t="s">
        <v>21</v>
      </c>
      <c r="D44" s="2"/>
      <c r="E44" s="2"/>
      <c r="F44" s="22" t="s">
        <v>44</v>
      </c>
      <c r="G44" s="2">
        <v>1</v>
      </c>
      <c r="H44" s="17">
        <v>1405438</v>
      </c>
      <c r="I44" s="37">
        <f t="shared" si="1"/>
        <v>1405438</v>
      </c>
      <c r="J44" s="5">
        <v>74638</v>
      </c>
      <c r="K44" s="52">
        <f t="shared" si="0"/>
        <v>18.830059755084541</v>
      </c>
      <c r="M44" s="49"/>
      <c r="N44" s="49">
        <f t="shared" si="2"/>
        <v>0</v>
      </c>
    </row>
    <row r="45" spans="2:14">
      <c r="B45" s="2">
        <v>2020</v>
      </c>
      <c r="C45" s="2" t="s">
        <v>22</v>
      </c>
      <c r="D45" s="2"/>
      <c r="E45" s="2"/>
      <c r="F45" s="7" t="s">
        <v>42</v>
      </c>
      <c r="G45" s="3">
        <v>0.85</v>
      </c>
      <c r="H45" s="17">
        <v>1267707</v>
      </c>
      <c r="I45" s="37">
        <f t="shared" si="1"/>
        <v>1077550.95</v>
      </c>
      <c r="K45" s="52">
        <f t="shared" si="0"/>
        <v>0</v>
      </c>
      <c r="N45" s="49">
        <f t="shared" si="2"/>
        <v>0</v>
      </c>
    </row>
    <row r="46" spans="2:14">
      <c r="B46" s="2">
        <v>2020</v>
      </c>
      <c r="C46" s="2" t="s">
        <v>22</v>
      </c>
      <c r="D46" s="2"/>
      <c r="E46" s="2"/>
      <c r="F46" s="7" t="s">
        <v>43</v>
      </c>
      <c r="G46" s="3">
        <v>0.15</v>
      </c>
      <c r="H46" s="17">
        <v>1267707</v>
      </c>
      <c r="I46" s="37">
        <f t="shared" si="1"/>
        <v>190156.05</v>
      </c>
      <c r="K46" s="52">
        <f t="shared" si="0"/>
        <v>0</v>
      </c>
      <c r="N46" s="49">
        <f t="shared" si="2"/>
        <v>0</v>
      </c>
    </row>
    <row r="47" spans="2:14">
      <c r="B47" s="2">
        <v>2020</v>
      </c>
      <c r="C47" s="2" t="s">
        <v>22</v>
      </c>
      <c r="D47" s="2"/>
      <c r="E47" s="2"/>
      <c r="F47" s="22" t="s">
        <v>44</v>
      </c>
      <c r="G47" s="2">
        <v>1</v>
      </c>
      <c r="H47" s="17">
        <v>1267707</v>
      </c>
      <c r="I47" s="37">
        <f t="shared" si="1"/>
        <v>1267707</v>
      </c>
      <c r="J47" s="5">
        <v>68448</v>
      </c>
      <c r="K47" s="52">
        <f t="shared" si="0"/>
        <v>18.520731065918653</v>
      </c>
      <c r="M47" s="49"/>
      <c r="N47" s="49">
        <f t="shared" si="2"/>
        <v>0</v>
      </c>
    </row>
    <row r="48" spans="2:14">
      <c r="B48" s="2">
        <v>2021</v>
      </c>
      <c r="C48" s="2" t="s">
        <v>23</v>
      </c>
      <c r="D48" s="2"/>
      <c r="E48" s="2"/>
      <c r="F48" s="7" t="s">
        <v>42</v>
      </c>
      <c r="G48" s="3">
        <v>0.85</v>
      </c>
      <c r="H48" s="17">
        <v>1383454</v>
      </c>
      <c r="I48" s="37">
        <f t="shared" si="1"/>
        <v>1175935.8999999999</v>
      </c>
      <c r="K48" s="52">
        <f t="shared" si="0"/>
        <v>0</v>
      </c>
      <c r="N48" s="49">
        <f t="shared" si="2"/>
        <v>0</v>
      </c>
    </row>
    <row r="49" spans="2:14">
      <c r="B49" s="2">
        <v>2021</v>
      </c>
      <c r="C49" s="2" t="s">
        <v>23</v>
      </c>
      <c r="D49" s="2"/>
      <c r="E49" s="2"/>
      <c r="F49" s="7" t="s">
        <v>43</v>
      </c>
      <c r="G49" s="3">
        <v>0.15</v>
      </c>
      <c r="H49" s="17">
        <v>1383454</v>
      </c>
      <c r="I49" s="37">
        <f t="shared" si="1"/>
        <v>207518.1</v>
      </c>
      <c r="K49" s="52">
        <f t="shared" si="0"/>
        <v>0</v>
      </c>
      <c r="N49" s="49">
        <f t="shared" si="2"/>
        <v>0</v>
      </c>
    </row>
    <row r="50" spans="2:14">
      <c r="B50" s="2">
        <v>2021</v>
      </c>
      <c r="C50" s="2" t="s">
        <v>23</v>
      </c>
      <c r="D50" s="2"/>
      <c r="E50" s="2"/>
      <c r="F50" s="22" t="s">
        <v>44</v>
      </c>
      <c r="G50" s="2">
        <v>1</v>
      </c>
      <c r="H50" s="17">
        <v>1383454</v>
      </c>
      <c r="I50" s="37">
        <f t="shared" si="1"/>
        <v>1383454</v>
      </c>
      <c r="J50" s="5">
        <v>74593</v>
      </c>
      <c r="K50" s="52">
        <f t="shared" si="0"/>
        <v>18.546700092501979</v>
      </c>
      <c r="M50" s="49"/>
      <c r="N50" s="49">
        <f t="shared" si="2"/>
        <v>0</v>
      </c>
    </row>
    <row r="51" spans="2:14">
      <c r="B51" s="2">
        <v>2021</v>
      </c>
      <c r="C51" s="2" t="s">
        <v>24</v>
      </c>
      <c r="D51" s="2"/>
      <c r="E51" s="2"/>
      <c r="F51" s="7" t="s">
        <v>42</v>
      </c>
      <c r="G51" s="3">
        <v>0.85</v>
      </c>
      <c r="H51" s="17">
        <v>1254592</v>
      </c>
      <c r="I51" s="37">
        <f t="shared" si="1"/>
        <v>1066403.2</v>
      </c>
      <c r="K51" s="52">
        <f t="shared" si="0"/>
        <v>0</v>
      </c>
      <c r="N51" s="49">
        <f t="shared" si="2"/>
        <v>0</v>
      </c>
    </row>
    <row r="52" spans="2:14">
      <c r="B52" s="2">
        <v>2021</v>
      </c>
      <c r="C52" s="2" t="s">
        <v>24</v>
      </c>
      <c r="D52" s="2"/>
      <c r="E52" s="2"/>
      <c r="F52" s="7" t="s">
        <v>43</v>
      </c>
      <c r="G52" s="3">
        <v>0.15</v>
      </c>
      <c r="H52" s="17">
        <v>1254592</v>
      </c>
      <c r="I52" s="37">
        <f t="shared" si="1"/>
        <v>188188.79999999999</v>
      </c>
      <c r="K52" s="52">
        <f t="shared" si="0"/>
        <v>0</v>
      </c>
      <c r="N52" s="49">
        <f t="shared" si="2"/>
        <v>0</v>
      </c>
    </row>
    <row r="53" spans="2:14">
      <c r="B53" s="2">
        <v>2021</v>
      </c>
      <c r="C53" s="2" t="s">
        <v>24</v>
      </c>
      <c r="D53" s="2"/>
      <c r="E53" s="2"/>
      <c r="F53" s="22" t="s">
        <v>44</v>
      </c>
      <c r="G53" s="2">
        <v>1</v>
      </c>
      <c r="H53" s="17">
        <v>1254592</v>
      </c>
      <c r="I53" s="37">
        <f t="shared" si="1"/>
        <v>1254592</v>
      </c>
      <c r="J53" s="5">
        <v>75310</v>
      </c>
      <c r="K53" s="52">
        <f t="shared" si="0"/>
        <v>16.659035984597001</v>
      </c>
      <c r="M53" s="49"/>
      <c r="N53" s="49">
        <f t="shared" si="2"/>
        <v>0</v>
      </c>
    </row>
    <row r="54" spans="2:14">
      <c r="B54" s="2">
        <v>2021</v>
      </c>
      <c r="C54" s="2" t="s">
        <v>25</v>
      </c>
      <c r="D54" s="2"/>
      <c r="E54" s="2"/>
      <c r="F54" s="7" t="s">
        <v>42</v>
      </c>
      <c r="G54" s="3">
        <v>0.85</v>
      </c>
      <c r="H54" s="17">
        <v>1421310</v>
      </c>
      <c r="I54" s="37">
        <f t="shared" si="1"/>
        <v>1208113.5</v>
      </c>
      <c r="K54" s="52">
        <f t="shared" si="0"/>
        <v>0</v>
      </c>
      <c r="N54" s="49">
        <f t="shared" si="2"/>
        <v>0</v>
      </c>
    </row>
    <row r="55" spans="2:14">
      <c r="B55" s="2">
        <v>2021</v>
      </c>
      <c r="C55" s="2" t="s">
        <v>25</v>
      </c>
      <c r="D55" s="2"/>
      <c r="E55" s="2"/>
      <c r="F55" s="7" t="s">
        <v>43</v>
      </c>
      <c r="G55" s="3">
        <v>0.15</v>
      </c>
      <c r="H55" s="17">
        <v>1421310</v>
      </c>
      <c r="I55" s="37">
        <f t="shared" si="1"/>
        <v>213196.5</v>
      </c>
      <c r="K55" s="52">
        <f t="shared" si="0"/>
        <v>0</v>
      </c>
      <c r="N55" s="49">
        <f t="shared" si="2"/>
        <v>0</v>
      </c>
    </row>
    <row r="56" spans="2:14">
      <c r="B56" s="2">
        <v>2021</v>
      </c>
      <c r="C56" s="2" t="s">
        <v>25</v>
      </c>
      <c r="D56" s="2"/>
      <c r="E56" s="2"/>
      <c r="F56" s="22" t="s">
        <v>44</v>
      </c>
      <c r="G56" s="2">
        <v>1</v>
      </c>
      <c r="H56" s="17">
        <v>1421310</v>
      </c>
      <c r="I56" s="37">
        <f t="shared" si="1"/>
        <v>1421310</v>
      </c>
      <c r="J56" s="5">
        <v>77208</v>
      </c>
      <c r="K56" s="52">
        <f t="shared" si="0"/>
        <v>18.408843643145786</v>
      </c>
      <c r="M56" s="49"/>
      <c r="N56" s="49">
        <f t="shared" si="2"/>
        <v>0</v>
      </c>
    </row>
    <row r="57" spans="2:14">
      <c r="B57" s="2">
        <v>2021</v>
      </c>
      <c r="C57" s="2" t="s">
        <v>26</v>
      </c>
      <c r="D57" s="2"/>
      <c r="E57" s="2"/>
      <c r="F57" s="7" t="s">
        <v>42</v>
      </c>
      <c r="G57" s="3">
        <v>0.85</v>
      </c>
      <c r="H57" s="17">
        <v>1108887</v>
      </c>
      <c r="I57" s="37">
        <f t="shared" si="1"/>
        <v>942553.95</v>
      </c>
      <c r="K57" s="52">
        <f t="shared" si="0"/>
        <v>0</v>
      </c>
      <c r="N57" s="49">
        <f t="shared" si="2"/>
        <v>0</v>
      </c>
    </row>
    <row r="58" spans="2:14">
      <c r="B58" s="2">
        <v>2021</v>
      </c>
      <c r="C58" s="2" t="s">
        <v>26</v>
      </c>
      <c r="D58" s="2"/>
      <c r="E58" s="2"/>
      <c r="F58" s="7" t="s">
        <v>43</v>
      </c>
      <c r="G58" s="3">
        <v>0.15</v>
      </c>
      <c r="H58" s="17">
        <v>1108887</v>
      </c>
      <c r="I58" s="37">
        <f t="shared" si="1"/>
        <v>166333.04999999999</v>
      </c>
      <c r="K58" s="52">
        <f t="shared" si="0"/>
        <v>0</v>
      </c>
      <c r="N58" s="49">
        <f t="shared" si="2"/>
        <v>0</v>
      </c>
    </row>
    <row r="59" spans="2:14">
      <c r="B59" s="2">
        <v>2021</v>
      </c>
      <c r="C59" s="2" t="s">
        <v>26</v>
      </c>
      <c r="D59" s="2"/>
      <c r="E59" s="2"/>
      <c r="F59" s="22" t="s">
        <v>44</v>
      </c>
      <c r="G59" s="2">
        <v>1</v>
      </c>
      <c r="H59" s="17">
        <v>1108887</v>
      </c>
      <c r="I59" s="37">
        <f t="shared" si="1"/>
        <v>1108887</v>
      </c>
      <c r="J59" s="5">
        <v>65370</v>
      </c>
      <c r="K59" s="52">
        <f t="shared" si="0"/>
        <v>16.963240018357045</v>
      </c>
      <c r="M59" s="49"/>
      <c r="N59" s="49">
        <f t="shared" si="2"/>
        <v>0</v>
      </c>
    </row>
    <row r="60" spans="2:14">
      <c r="B60" s="2">
        <v>2021</v>
      </c>
      <c r="C60" s="2" t="s">
        <v>27</v>
      </c>
      <c r="D60" s="2"/>
      <c r="E60" s="2"/>
      <c r="F60" s="7" t="s">
        <v>42</v>
      </c>
      <c r="G60" s="3">
        <v>0.85</v>
      </c>
      <c r="H60" s="17">
        <v>541647</v>
      </c>
      <c r="I60" s="37">
        <f t="shared" si="1"/>
        <v>460399.95</v>
      </c>
      <c r="K60" s="52">
        <f t="shared" si="0"/>
        <v>0</v>
      </c>
      <c r="N60" s="49">
        <f t="shared" si="2"/>
        <v>0</v>
      </c>
    </row>
    <row r="61" spans="2:14">
      <c r="B61" s="2">
        <v>2021</v>
      </c>
      <c r="C61" s="2" t="s">
        <v>27</v>
      </c>
      <c r="D61" s="2"/>
      <c r="E61" s="2"/>
      <c r="F61" s="7" t="s">
        <v>43</v>
      </c>
      <c r="G61" s="3">
        <v>0.15</v>
      </c>
      <c r="H61" s="17">
        <v>541647</v>
      </c>
      <c r="I61" s="37">
        <f t="shared" si="1"/>
        <v>81247.05</v>
      </c>
      <c r="K61" s="52">
        <f t="shared" si="0"/>
        <v>0</v>
      </c>
      <c r="N61" s="49">
        <f t="shared" si="2"/>
        <v>0</v>
      </c>
    </row>
    <row r="62" spans="2:14">
      <c r="B62" s="2">
        <v>2021</v>
      </c>
      <c r="C62" s="2" t="s">
        <v>27</v>
      </c>
      <c r="D62" s="2"/>
      <c r="E62" s="2"/>
      <c r="F62" s="22" t="s">
        <v>44</v>
      </c>
      <c r="G62" s="2">
        <v>1</v>
      </c>
      <c r="H62" s="17">
        <v>541647</v>
      </c>
      <c r="I62" s="37">
        <f t="shared" si="1"/>
        <v>541647</v>
      </c>
      <c r="J62" s="5">
        <v>25290</v>
      </c>
      <c r="K62" s="52">
        <f t="shared" si="0"/>
        <v>21.41743772241993</v>
      </c>
      <c r="M62" s="49"/>
      <c r="N62" s="49">
        <f t="shared" si="2"/>
        <v>0</v>
      </c>
    </row>
    <row r="63" spans="2:14">
      <c r="B63" s="2">
        <v>2021</v>
      </c>
      <c r="C63" s="2" t="s">
        <v>28</v>
      </c>
      <c r="D63" s="2"/>
      <c r="E63" s="2"/>
      <c r="F63" s="7" t="s">
        <v>42</v>
      </c>
      <c r="G63" s="3">
        <v>0.85</v>
      </c>
      <c r="H63" s="17">
        <v>1437435</v>
      </c>
      <c r="I63" s="37">
        <f t="shared" si="1"/>
        <v>1221819.75</v>
      </c>
      <c r="K63" s="52">
        <f t="shared" si="0"/>
        <v>0</v>
      </c>
      <c r="N63" s="49">
        <f t="shared" si="2"/>
        <v>0</v>
      </c>
    </row>
    <row r="64" spans="2:14">
      <c r="B64" s="2">
        <v>2021</v>
      </c>
      <c r="C64" s="2" t="s">
        <v>28</v>
      </c>
      <c r="D64" s="2"/>
      <c r="E64" s="2"/>
      <c r="F64" s="7" t="s">
        <v>43</v>
      </c>
      <c r="G64" s="3">
        <v>0.15</v>
      </c>
      <c r="H64" s="17">
        <v>1437435</v>
      </c>
      <c r="I64" s="37">
        <f t="shared" si="1"/>
        <v>215615.25</v>
      </c>
      <c r="K64" s="52">
        <f t="shared" si="0"/>
        <v>0</v>
      </c>
      <c r="N64" s="49">
        <f t="shared" si="2"/>
        <v>0</v>
      </c>
    </row>
    <row r="65" spans="2:14">
      <c r="B65" s="2">
        <v>2021</v>
      </c>
      <c r="C65" s="2" t="s">
        <v>28</v>
      </c>
      <c r="D65" s="2"/>
      <c r="E65" s="2"/>
      <c r="F65" s="22" t="s">
        <v>44</v>
      </c>
      <c r="G65" s="2">
        <v>1</v>
      </c>
      <c r="H65" s="17">
        <v>1437435</v>
      </c>
      <c r="I65" s="37">
        <f t="shared" si="1"/>
        <v>1437435</v>
      </c>
      <c r="J65" s="5">
        <v>79132</v>
      </c>
      <c r="K65" s="52">
        <f t="shared" si="0"/>
        <v>18.165028054390135</v>
      </c>
      <c r="M65" s="49"/>
      <c r="N65" s="49">
        <f t="shared" si="2"/>
        <v>0</v>
      </c>
    </row>
    <row r="66" spans="2:14">
      <c r="B66" s="2">
        <v>2021</v>
      </c>
      <c r="C66" s="2" t="s">
        <v>29</v>
      </c>
      <c r="D66" s="2"/>
      <c r="E66" s="2"/>
      <c r="F66" s="7" t="s">
        <v>42</v>
      </c>
      <c r="G66" s="3">
        <v>0.85</v>
      </c>
      <c r="H66" s="17">
        <v>1599101</v>
      </c>
      <c r="I66" s="37">
        <f t="shared" si="1"/>
        <v>1359235.8499999999</v>
      </c>
      <c r="K66" s="52">
        <f t="shared" si="0"/>
        <v>0</v>
      </c>
      <c r="N66" s="49">
        <f t="shared" si="2"/>
        <v>0</v>
      </c>
    </row>
    <row r="67" spans="2:14">
      <c r="B67" s="2">
        <v>2021</v>
      </c>
      <c r="C67" s="2" t="s">
        <v>29</v>
      </c>
      <c r="D67" s="2"/>
      <c r="E67" s="2"/>
      <c r="F67" s="7" t="s">
        <v>43</v>
      </c>
      <c r="G67" s="3">
        <v>0.15</v>
      </c>
      <c r="H67" s="17">
        <v>1599101</v>
      </c>
      <c r="I67" s="37">
        <f t="shared" si="1"/>
        <v>239865.15</v>
      </c>
      <c r="K67" s="52">
        <f t="shared" ref="K67:K130" si="3">IFERROR(I67/J67,0)</f>
        <v>0</v>
      </c>
      <c r="N67" s="49">
        <f t="shared" ref="N67:N130" si="4">M67*I67</f>
        <v>0</v>
      </c>
    </row>
    <row r="68" spans="2:14">
      <c r="B68" s="2">
        <v>2021</v>
      </c>
      <c r="C68" s="2" t="s">
        <v>29</v>
      </c>
      <c r="D68" s="2"/>
      <c r="E68" s="2"/>
      <c r="F68" s="22" t="s">
        <v>44</v>
      </c>
      <c r="G68" s="2">
        <v>1</v>
      </c>
      <c r="H68" s="17">
        <v>1599101</v>
      </c>
      <c r="I68" s="37">
        <f t="shared" ref="I68:I131" si="5">G68*H68</f>
        <v>1599101</v>
      </c>
      <c r="J68" s="5">
        <v>89889</v>
      </c>
      <c r="K68" s="52">
        <f t="shared" si="3"/>
        <v>17.789729555340475</v>
      </c>
      <c r="M68" s="49"/>
      <c r="N68" s="49">
        <f t="shared" si="4"/>
        <v>0</v>
      </c>
    </row>
    <row r="69" spans="2:14">
      <c r="B69" s="2">
        <v>2021</v>
      </c>
      <c r="C69" s="2" t="s">
        <v>30</v>
      </c>
      <c r="D69" s="2"/>
      <c r="E69" s="2"/>
      <c r="F69" s="7" t="s">
        <v>42</v>
      </c>
      <c r="G69" s="3">
        <v>0.85</v>
      </c>
      <c r="H69" s="17">
        <v>1622060</v>
      </c>
      <c r="I69" s="37">
        <f t="shared" si="5"/>
        <v>1378751</v>
      </c>
      <c r="K69" s="52">
        <f t="shared" si="3"/>
        <v>0</v>
      </c>
      <c r="N69" s="49">
        <f t="shared" si="4"/>
        <v>0</v>
      </c>
    </row>
    <row r="70" spans="2:14">
      <c r="B70" s="2">
        <v>2021</v>
      </c>
      <c r="C70" s="2" t="s">
        <v>30</v>
      </c>
      <c r="D70" s="2"/>
      <c r="E70" s="2"/>
      <c r="F70" s="7" t="s">
        <v>43</v>
      </c>
      <c r="G70" s="3">
        <v>0.15</v>
      </c>
      <c r="H70" s="17">
        <v>1622060</v>
      </c>
      <c r="I70" s="37">
        <f t="shared" si="5"/>
        <v>243309</v>
      </c>
      <c r="K70" s="52">
        <f t="shared" si="3"/>
        <v>0</v>
      </c>
      <c r="N70" s="49">
        <f t="shared" si="4"/>
        <v>0</v>
      </c>
    </row>
    <row r="71" spans="2:14">
      <c r="B71" s="2">
        <v>2021</v>
      </c>
      <c r="C71" s="2" t="s">
        <v>30</v>
      </c>
      <c r="D71" s="2"/>
      <c r="E71" s="2"/>
      <c r="F71" s="22" t="s">
        <v>44</v>
      </c>
      <c r="G71" s="2">
        <v>1</v>
      </c>
      <c r="H71" s="17">
        <v>1622060</v>
      </c>
      <c r="I71" s="37">
        <f t="shared" si="5"/>
        <v>1622060</v>
      </c>
      <c r="J71" s="5">
        <v>87891</v>
      </c>
      <c r="K71" s="52">
        <f t="shared" si="3"/>
        <v>18.45535947935511</v>
      </c>
      <c r="M71" s="49"/>
      <c r="N71" s="49">
        <f t="shared" si="4"/>
        <v>0</v>
      </c>
    </row>
    <row r="72" spans="2:14">
      <c r="B72" s="2">
        <v>2021</v>
      </c>
      <c r="C72" s="2" t="s">
        <v>31</v>
      </c>
      <c r="D72" s="2"/>
      <c r="E72" s="2"/>
      <c r="F72" s="7" t="s">
        <v>42</v>
      </c>
      <c r="G72" s="3">
        <v>0.85</v>
      </c>
      <c r="H72" s="17">
        <v>1547088</v>
      </c>
      <c r="I72" s="37">
        <f t="shared" si="5"/>
        <v>1315024.8</v>
      </c>
      <c r="K72" s="52">
        <f t="shared" si="3"/>
        <v>0</v>
      </c>
      <c r="N72" s="49">
        <f t="shared" si="4"/>
        <v>0</v>
      </c>
    </row>
    <row r="73" spans="2:14">
      <c r="B73" s="2">
        <v>2021</v>
      </c>
      <c r="C73" s="2" t="s">
        <v>31</v>
      </c>
      <c r="D73" s="2"/>
      <c r="E73" s="2"/>
      <c r="F73" s="7" t="s">
        <v>43</v>
      </c>
      <c r="G73" s="3">
        <v>0.15</v>
      </c>
      <c r="H73" s="17">
        <v>1547088</v>
      </c>
      <c r="I73" s="37">
        <f t="shared" si="5"/>
        <v>232063.19999999998</v>
      </c>
      <c r="K73" s="52">
        <f t="shared" si="3"/>
        <v>0</v>
      </c>
      <c r="N73" s="49">
        <f t="shared" si="4"/>
        <v>0</v>
      </c>
    </row>
    <row r="74" spans="2:14">
      <c r="B74" s="2">
        <v>2021</v>
      </c>
      <c r="C74" s="2" t="s">
        <v>31</v>
      </c>
      <c r="D74" s="2"/>
      <c r="E74" s="2"/>
      <c r="F74" s="22" t="s">
        <v>44</v>
      </c>
      <c r="G74" s="2">
        <v>1</v>
      </c>
      <c r="H74" s="17">
        <v>1547088</v>
      </c>
      <c r="I74" s="37">
        <f t="shared" si="5"/>
        <v>1547088</v>
      </c>
      <c r="J74" s="5">
        <v>82946</v>
      </c>
      <c r="K74" s="52">
        <f t="shared" si="3"/>
        <v>18.651749330889977</v>
      </c>
      <c r="M74" s="49"/>
      <c r="N74" s="49">
        <f t="shared" si="4"/>
        <v>0</v>
      </c>
    </row>
    <row r="75" spans="2:14">
      <c r="B75" s="2">
        <v>2021</v>
      </c>
      <c r="C75" s="2" t="s">
        <v>14</v>
      </c>
      <c r="D75" s="2"/>
      <c r="E75" s="2"/>
      <c r="F75" s="7" t="s">
        <v>42</v>
      </c>
      <c r="G75" s="3">
        <v>0.85</v>
      </c>
      <c r="H75" s="17">
        <v>1508151</v>
      </c>
      <c r="I75" s="37">
        <f t="shared" si="5"/>
        <v>1281928.3499999999</v>
      </c>
      <c r="K75" s="52">
        <f t="shared" si="3"/>
        <v>0</v>
      </c>
      <c r="N75" s="49">
        <f t="shared" si="4"/>
        <v>0</v>
      </c>
    </row>
    <row r="76" spans="2:14">
      <c r="B76" s="2">
        <v>2021</v>
      </c>
      <c r="C76" s="2" t="s">
        <v>14</v>
      </c>
      <c r="D76" s="2"/>
      <c r="E76" s="2"/>
      <c r="F76" s="7" t="s">
        <v>43</v>
      </c>
      <c r="G76" s="3">
        <v>0.15</v>
      </c>
      <c r="H76" s="17">
        <v>1508151</v>
      </c>
      <c r="I76" s="37">
        <f t="shared" si="5"/>
        <v>226222.65</v>
      </c>
      <c r="K76" s="52">
        <f t="shared" si="3"/>
        <v>0</v>
      </c>
      <c r="N76" s="49">
        <f t="shared" si="4"/>
        <v>0</v>
      </c>
    </row>
    <row r="77" spans="2:14">
      <c r="B77" s="2">
        <v>2021</v>
      </c>
      <c r="C77" s="2" t="s">
        <v>14</v>
      </c>
      <c r="D77" s="2"/>
      <c r="E77" s="2"/>
      <c r="F77" s="22" t="s">
        <v>44</v>
      </c>
      <c r="G77" s="2">
        <v>1</v>
      </c>
      <c r="H77" s="17">
        <v>1508151</v>
      </c>
      <c r="I77" s="37">
        <f t="shared" si="5"/>
        <v>1508151</v>
      </c>
      <c r="J77" s="5">
        <v>75675</v>
      </c>
      <c r="K77" s="52">
        <f t="shared" si="3"/>
        <v>19.929316154608522</v>
      </c>
      <c r="M77" s="49"/>
      <c r="N77" s="49">
        <f t="shared" si="4"/>
        <v>0</v>
      </c>
    </row>
    <row r="78" spans="2:14">
      <c r="B78" s="2">
        <v>2021</v>
      </c>
      <c r="C78" s="2" t="s">
        <v>21</v>
      </c>
      <c r="D78" s="2"/>
      <c r="E78" s="2"/>
      <c r="F78" s="7" t="s">
        <v>42</v>
      </c>
      <c r="G78" s="3">
        <v>0.85</v>
      </c>
      <c r="H78" s="17">
        <v>1349053</v>
      </c>
      <c r="I78" s="37">
        <f t="shared" si="5"/>
        <v>1146695.05</v>
      </c>
      <c r="K78" s="52">
        <f t="shared" si="3"/>
        <v>0</v>
      </c>
      <c r="N78" s="49">
        <f t="shared" si="4"/>
        <v>0</v>
      </c>
    </row>
    <row r="79" spans="2:14">
      <c r="B79" s="2">
        <v>2021</v>
      </c>
      <c r="C79" s="2" t="s">
        <v>21</v>
      </c>
      <c r="D79" s="2"/>
      <c r="E79" s="2"/>
      <c r="F79" s="7" t="s">
        <v>43</v>
      </c>
      <c r="G79" s="3">
        <v>0.15</v>
      </c>
      <c r="H79" s="17">
        <v>1349053</v>
      </c>
      <c r="I79" s="37">
        <f t="shared" si="5"/>
        <v>202357.94999999998</v>
      </c>
      <c r="K79" s="52">
        <f t="shared" si="3"/>
        <v>0</v>
      </c>
      <c r="N79" s="49">
        <f t="shared" si="4"/>
        <v>0</v>
      </c>
    </row>
    <row r="80" spans="2:14">
      <c r="B80" s="2">
        <v>2021</v>
      </c>
      <c r="C80" s="2" t="s">
        <v>21</v>
      </c>
      <c r="D80" s="2"/>
      <c r="E80" s="2"/>
      <c r="F80" s="22" t="s">
        <v>44</v>
      </c>
      <c r="G80" s="2">
        <v>1</v>
      </c>
      <c r="H80" s="17">
        <v>1349053</v>
      </c>
      <c r="I80" s="37">
        <f t="shared" si="5"/>
        <v>1349053</v>
      </c>
      <c r="J80" s="5">
        <v>63443</v>
      </c>
      <c r="K80" s="52">
        <f t="shared" si="3"/>
        <v>21.264016518764876</v>
      </c>
      <c r="M80" s="49"/>
      <c r="N80" s="49">
        <f t="shared" si="4"/>
        <v>0</v>
      </c>
    </row>
    <row r="81" spans="2:14">
      <c r="B81" s="2">
        <v>2021</v>
      </c>
      <c r="C81" s="2" t="s">
        <v>22</v>
      </c>
      <c r="D81" s="2"/>
      <c r="E81" s="2"/>
      <c r="F81" s="7" t="s">
        <v>42</v>
      </c>
      <c r="G81" s="3">
        <v>0.85</v>
      </c>
      <c r="H81" s="17">
        <v>1485778</v>
      </c>
      <c r="I81" s="37">
        <f t="shared" si="5"/>
        <v>1262911.3</v>
      </c>
      <c r="K81" s="52">
        <f t="shared" si="3"/>
        <v>0</v>
      </c>
      <c r="N81" s="49">
        <f t="shared" si="4"/>
        <v>0</v>
      </c>
    </row>
    <row r="82" spans="2:14">
      <c r="B82" s="2">
        <v>2021</v>
      </c>
      <c r="C82" s="2" t="s">
        <v>22</v>
      </c>
      <c r="D82" s="2"/>
      <c r="E82" s="2"/>
      <c r="F82" s="7" t="s">
        <v>43</v>
      </c>
      <c r="G82" s="3">
        <v>0.15</v>
      </c>
      <c r="H82" s="17">
        <v>1485778</v>
      </c>
      <c r="I82" s="37">
        <f t="shared" si="5"/>
        <v>222866.69999999998</v>
      </c>
      <c r="K82" s="52">
        <f t="shared" si="3"/>
        <v>0</v>
      </c>
      <c r="N82" s="49">
        <f t="shared" si="4"/>
        <v>0</v>
      </c>
    </row>
    <row r="83" spans="2:14">
      <c r="B83" s="2">
        <v>2021</v>
      </c>
      <c r="C83" s="2" t="s">
        <v>22</v>
      </c>
      <c r="D83" s="2"/>
      <c r="E83" s="2"/>
      <c r="F83" s="22" t="s">
        <v>44</v>
      </c>
      <c r="G83" s="2">
        <v>1</v>
      </c>
      <c r="H83" s="17">
        <v>1485778</v>
      </c>
      <c r="I83" s="37">
        <f t="shared" si="5"/>
        <v>1485778</v>
      </c>
      <c r="J83" s="5">
        <v>73282</v>
      </c>
      <c r="K83" s="52">
        <f t="shared" si="3"/>
        <v>20.274801451925438</v>
      </c>
      <c r="M83" s="49"/>
      <c r="N83" s="49">
        <f t="shared" si="4"/>
        <v>0</v>
      </c>
    </row>
    <row r="84" spans="2:14">
      <c r="B84" s="2">
        <v>2022</v>
      </c>
      <c r="C84" s="2" t="s">
        <v>23</v>
      </c>
      <c r="D84" s="2"/>
      <c r="E84" s="2"/>
      <c r="F84" s="7" t="s">
        <v>42</v>
      </c>
      <c r="G84" s="3">
        <v>0.85</v>
      </c>
      <c r="H84" s="17">
        <v>1366941</v>
      </c>
      <c r="I84" s="37">
        <f t="shared" si="5"/>
        <v>1161899.8499999999</v>
      </c>
      <c r="K84" s="52">
        <f t="shared" si="3"/>
        <v>0</v>
      </c>
      <c r="N84" s="49">
        <f t="shared" si="4"/>
        <v>0</v>
      </c>
    </row>
    <row r="85" spans="2:14">
      <c r="B85" s="2">
        <v>2022</v>
      </c>
      <c r="C85" s="2" t="s">
        <v>23</v>
      </c>
      <c r="D85" s="2"/>
      <c r="E85" s="2"/>
      <c r="F85" s="7" t="s">
        <v>43</v>
      </c>
      <c r="G85" s="3">
        <v>0.15</v>
      </c>
      <c r="H85" s="17">
        <v>1366941</v>
      </c>
      <c r="I85" s="37">
        <f t="shared" si="5"/>
        <v>205041.15</v>
      </c>
      <c r="K85" s="52">
        <f t="shared" si="3"/>
        <v>0</v>
      </c>
      <c r="N85" s="49">
        <f t="shared" si="4"/>
        <v>0</v>
      </c>
    </row>
    <row r="86" spans="2:14">
      <c r="B86" s="2">
        <v>2022</v>
      </c>
      <c r="C86" s="2" t="s">
        <v>23</v>
      </c>
      <c r="D86" s="2"/>
      <c r="E86" s="2"/>
      <c r="F86" s="22" t="s">
        <v>44</v>
      </c>
      <c r="G86" s="2">
        <v>1</v>
      </c>
      <c r="H86" s="17">
        <v>1366941</v>
      </c>
      <c r="I86" s="37">
        <f t="shared" si="5"/>
        <v>1366941</v>
      </c>
      <c r="J86" s="5">
        <v>72896</v>
      </c>
      <c r="K86" s="52">
        <f t="shared" si="3"/>
        <v>18.751934262510975</v>
      </c>
      <c r="M86" s="49"/>
      <c r="N86" s="49">
        <f t="shared" si="4"/>
        <v>0</v>
      </c>
    </row>
    <row r="87" spans="2:14">
      <c r="B87" s="2">
        <v>2022</v>
      </c>
      <c r="C87" s="2" t="s">
        <v>24</v>
      </c>
      <c r="D87" s="2"/>
      <c r="E87" s="2"/>
      <c r="F87" s="7" t="s">
        <v>42</v>
      </c>
      <c r="G87" s="3">
        <v>0.85</v>
      </c>
      <c r="H87" s="17">
        <v>1313891</v>
      </c>
      <c r="I87" s="37">
        <f t="shared" si="5"/>
        <v>1116807.3499999999</v>
      </c>
      <c r="K87" s="52">
        <f t="shared" si="3"/>
        <v>0</v>
      </c>
      <c r="N87" s="49">
        <f t="shared" si="4"/>
        <v>0</v>
      </c>
    </row>
    <row r="88" spans="2:14">
      <c r="B88" s="2">
        <v>2022</v>
      </c>
      <c r="C88" s="2" t="s">
        <v>24</v>
      </c>
      <c r="D88" s="2"/>
      <c r="E88" s="2"/>
      <c r="F88" s="7" t="s">
        <v>43</v>
      </c>
      <c r="G88" s="3">
        <v>0.15</v>
      </c>
      <c r="H88" s="17">
        <v>1313891</v>
      </c>
      <c r="I88" s="37">
        <f t="shared" si="5"/>
        <v>197083.65</v>
      </c>
      <c r="K88" s="52">
        <f t="shared" si="3"/>
        <v>0</v>
      </c>
      <c r="N88" s="49">
        <f t="shared" si="4"/>
        <v>0</v>
      </c>
    </row>
    <row r="89" spans="2:14">
      <c r="B89" s="2">
        <v>2022</v>
      </c>
      <c r="C89" s="2" t="s">
        <v>24</v>
      </c>
      <c r="D89" s="2"/>
      <c r="E89" s="2"/>
      <c r="F89" s="22" t="s">
        <v>44</v>
      </c>
      <c r="G89" s="2">
        <v>1</v>
      </c>
      <c r="H89" s="17">
        <v>1313891</v>
      </c>
      <c r="I89" s="37">
        <f t="shared" si="5"/>
        <v>1313891</v>
      </c>
      <c r="J89" s="5">
        <v>71442</v>
      </c>
      <c r="K89" s="52">
        <f t="shared" si="3"/>
        <v>18.391016488900085</v>
      </c>
      <c r="M89" s="49"/>
      <c r="N89" s="49">
        <f t="shared" si="4"/>
        <v>0</v>
      </c>
    </row>
    <row r="90" spans="2:14">
      <c r="B90" s="2">
        <v>2022</v>
      </c>
      <c r="C90" s="2" t="s">
        <v>25</v>
      </c>
      <c r="D90" s="2"/>
      <c r="E90" s="2"/>
      <c r="F90" s="7" t="s">
        <v>42</v>
      </c>
      <c r="G90" s="3">
        <v>0.85</v>
      </c>
      <c r="H90" s="17">
        <v>1483040</v>
      </c>
      <c r="I90" s="37">
        <f t="shared" si="5"/>
        <v>1260584</v>
      </c>
      <c r="K90" s="52">
        <f t="shared" si="3"/>
        <v>0</v>
      </c>
      <c r="N90" s="49">
        <f t="shared" si="4"/>
        <v>0</v>
      </c>
    </row>
    <row r="91" spans="2:14">
      <c r="B91" s="2">
        <v>2022</v>
      </c>
      <c r="C91" s="2" t="s">
        <v>25</v>
      </c>
      <c r="D91" s="2"/>
      <c r="E91" s="2"/>
      <c r="F91" s="7" t="s">
        <v>43</v>
      </c>
      <c r="G91" s="3">
        <v>0.15</v>
      </c>
      <c r="H91" s="17">
        <v>1483040</v>
      </c>
      <c r="I91" s="37">
        <f t="shared" si="5"/>
        <v>222456</v>
      </c>
      <c r="K91" s="52">
        <f t="shared" si="3"/>
        <v>0</v>
      </c>
      <c r="N91" s="49">
        <f t="shared" si="4"/>
        <v>0</v>
      </c>
    </row>
    <row r="92" spans="2:14">
      <c r="B92" s="2">
        <v>2022</v>
      </c>
      <c r="C92" s="2" t="s">
        <v>25</v>
      </c>
      <c r="D92" s="2"/>
      <c r="E92" s="2"/>
      <c r="F92" s="22" t="s">
        <v>44</v>
      </c>
      <c r="G92" s="2">
        <v>1</v>
      </c>
      <c r="H92" s="17">
        <v>1483040</v>
      </c>
      <c r="I92" s="37">
        <f t="shared" si="5"/>
        <v>1483040</v>
      </c>
      <c r="J92" s="5">
        <v>80629</v>
      </c>
      <c r="K92" s="52">
        <f t="shared" si="3"/>
        <v>18.393382033759565</v>
      </c>
      <c r="M92" s="49"/>
      <c r="N92" s="49">
        <f t="shared" si="4"/>
        <v>0</v>
      </c>
    </row>
    <row r="93" spans="2:14">
      <c r="B93" s="2">
        <v>2022</v>
      </c>
      <c r="C93" s="2" t="s">
        <v>26</v>
      </c>
      <c r="D93" s="2"/>
      <c r="E93" s="2"/>
      <c r="F93" s="7" t="s">
        <v>42</v>
      </c>
      <c r="G93" s="3">
        <v>0.85</v>
      </c>
      <c r="H93" s="17">
        <v>1357144</v>
      </c>
      <c r="I93" s="37">
        <f t="shared" si="5"/>
        <v>1153572.3999999999</v>
      </c>
      <c r="K93" s="52">
        <f t="shared" si="3"/>
        <v>0</v>
      </c>
      <c r="N93" s="49">
        <f t="shared" si="4"/>
        <v>0</v>
      </c>
    </row>
    <row r="94" spans="2:14">
      <c r="B94" s="2">
        <v>2022</v>
      </c>
      <c r="C94" s="2" t="s">
        <v>26</v>
      </c>
      <c r="D94" s="2"/>
      <c r="E94" s="2"/>
      <c r="F94" s="7" t="s">
        <v>43</v>
      </c>
      <c r="G94" s="3">
        <v>0.15</v>
      </c>
      <c r="H94" s="17">
        <v>1357144</v>
      </c>
      <c r="I94" s="37">
        <f t="shared" si="5"/>
        <v>203571.6</v>
      </c>
      <c r="K94" s="52">
        <f t="shared" si="3"/>
        <v>0</v>
      </c>
      <c r="N94" s="49">
        <f t="shared" si="4"/>
        <v>0</v>
      </c>
    </row>
    <row r="95" spans="2:14">
      <c r="B95" s="2">
        <v>2022</v>
      </c>
      <c r="C95" s="2" t="s">
        <v>26</v>
      </c>
      <c r="D95" s="2"/>
      <c r="E95" s="2"/>
      <c r="F95" s="22" t="s">
        <v>44</v>
      </c>
      <c r="G95" s="2">
        <v>1</v>
      </c>
      <c r="H95" s="17">
        <v>1357144</v>
      </c>
      <c r="I95" s="37">
        <f t="shared" si="5"/>
        <v>1357144</v>
      </c>
      <c r="J95" s="5">
        <v>71321</v>
      </c>
      <c r="K95" s="52">
        <f t="shared" si="3"/>
        <v>19.028673181811808</v>
      </c>
      <c r="M95" s="49"/>
      <c r="N95" s="49">
        <f t="shared" si="4"/>
        <v>0</v>
      </c>
    </row>
    <row r="96" spans="2:14">
      <c r="B96" s="2">
        <v>2022</v>
      </c>
      <c r="C96" s="2" t="s">
        <v>27</v>
      </c>
      <c r="D96" s="2"/>
      <c r="E96" s="2"/>
      <c r="F96" s="7" t="s">
        <v>42</v>
      </c>
      <c r="G96" s="3">
        <v>0.85</v>
      </c>
      <c r="H96" s="17">
        <v>1582644</v>
      </c>
      <c r="I96" s="37">
        <f t="shared" si="5"/>
        <v>1345247.4</v>
      </c>
      <c r="K96" s="52">
        <f t="shared" si="3"/>
        <v>0</v>
      </c>
      <c r="N96" s="49">
        <f t="shared" si="4"/>
        <v>0</v>
      </c>
    </row>
    <row r="97" spans="2:14">
      <c r="B97" s="2">
        <v>2022</v>
      </c>
      <c r="C97" s="2" t="s">
        <v>27</v>
      </c>
      <c r="D97" s="2"/>
      <c r="E97" s="2"/>
      <c r="F97" s="7" t="s">
        <v>43</v>
      </c>
      <c r="G97" s="3">
        <v>0.15</v>
      </c>
      <c r="H97" s="17">
        <v>1582644</v>
      </c>
      <c r="I97" s="37">
        <f t="shared" si="5"/>
        <v>237396.59999999998</v>
      </c>
      <c r="K97" s="52">
        <f t="shared" si="3"/>
        <v>0</v>
      </c>
      <c r="N97" s="49">
        <f t="shared" si="4"/>
        <v>0</v>
      </c>
    </row>
    <row r="98" spans="2:14">
      <c r="B98" s="2">
        <v>2022</v>
      </c>
      <c r="C98" s="2" t="s">
        <v>27</v>
      </c>
      <c r="D98" s="2"/>
      <c r="E98" s="2"/>
      <c r="F98" s="22" t="s">
        <v>44</v>
      </c>
      <c r="G98" s="2">
        <v>1</v>
      </c>
      <c r="H98" s="17">
        <v>1582644</v>
      </c>
      <c r="I98" s="37">
        <f t="shared" si="5"/>
        <v>1582644</v>
      </c>
      <c r="J98" s="5">
        <v>85157</v>
      </c>
      <c r="K98" s="52">
        <f t="shared" si="3"/>
        <v>18.585013563183296</v>
      </c>
      <c r="M98" s="49"/>
      <c r="N98" s="49">
        <f t="shared" si="4"/>
        <v>0</v>
      </c>
    </row>
    <row r="99" spans="2:14">
      <c r="B99" s="2">
        <v>2022</v>
      </c>
      <c r="C99" s="2" t="s">
        <v>28</v>
      </c>
      <c r="D99" s="2"/>
      <c r="E99" s="2"/>
      <c r="F99" s="7" t="s">
        <v>42</v>
      </c>
      <c r="G99" s="3">
        <v>0.85</v>
      </c>
      <c r="H99" s="17">
        <v>1405835</v>
      </c>
      <c r="I99" s="37">
        <f t="shared" si="5"/>
        <v>1194959.75</v>
      </c>
      <c r="K99" s="52">
        <f t="shared" si="3"/>
        <v>0</v>
      </c>
      <c r="N99" s="49">
        <f t="shared" si="4"/>
        <v>0</v>
      </c>
    </row>
    <row r="100" spans="2:14">
      <c r="B100" s="2">
        <v>2022</v>
      </c>
      <c r="C100" s="2" t="s">
        <v>28</v>
      </c>
      <c r="D100" s="2"/>
      <c r="E100" s="2"/>
      <c r="F100" s="7" t="s">
        <v>43</v>
      </c>
      <c r="G100" s="3">
        <v>0.15</v>
      </c>
      <c r="H100" s="17">
        <v>1405835</v>
      </c>
      <c r="I100" s="37">
        <f t="shared" si="5"/>
        <v>210875.25</v>
      </c>
      <c r="K100" s="52">
        <f t="shared" si="3"/>
        <v>0</v>
      </c>
      <c r="N100" s="49">
        <f t="shared" si="4"/>
        <v>0</v>
      </c>
    </row>
    <row r="101" spans="2:14">
      <c r="B101" s="2">
        <v>2022</v>
      </c>
      <c r="C101" s="2" t="s">
        <v>28</v>
      </c>
      <c r="D101" s="2"/>
      <c r="E101" s="2"/>
      <c r="F101" s="22" t="s">
        <v>44</v>
      </c>
      <c r="G101" s="2">
        <v>1</v>
      </c>
      <c r="H101" s="17">
        <v>1405835</v>
      </c>
      <c r="I101" s="37">
        <f t="shared" si="5"/>
        <v>1405835</v>
      </c>
      <c r="J101" s="5">
        <v>69514</v>
      </c>
      <c r="K101" s="52">
        <f t="shared" si="3"/>
        <v>20.223767874097305</v>
      </c>
      <c r="M101" s="49"/>
      <c r="N101" s="49">
        <f t="shared" si="4"/>
        <v>0</v>
      </c>
    </row>
    <row r="102" spans="2:14">
      <c r="B102" s="2">
        <v>2022</v>
      </c>
      <c r="C102" s="2" t="s">
        <v>29</v>
      </c>
      <c r="D102" s="2"/>
      <c r="E102" s="2"/>
      <c r="F102" s="7" t="s">
        <v>42</v>
      </c>
      <c r="G102" s="3">
        <v>0.85</v>
      </c>
      <c r="H102" s="17">
        <v>1453332</v>
      </c>
      <c r="I102" s="37">
        <f t="shared" si="5"/>
        <v>1235332.2</v>
      </c>
      <c r="K102" s="52">
        <f t="shared" si="3"/>
        <v>0</v>
      </c>
      <c r="N102" s="49">
        <f t="shared" si="4"/>
        <v>0</v>
      </c>
    </row>
    <row r="103" spans="2:14">
      <c r="B103" s="2">
        <v>2022</v>
      </c>
      <c r="C103" s="2" t="s">
        <v>29</v>
      </c>
      <c r="D103" s="2"/>
      <c r="E103" s="2"/>
      <c r="F103" s="7" t="s">
        <v>43</v>
      </c>
      <c r="G103" s="3">
        <v>0.15</v>
      </c>
      <c r="H103" s="17">
        <v>1453332</v>
      </c>
      <c r="I103" s="37">
        <f t="shared" si="5"/>
        <v>217999.8</v>
      </c>
      <c r="K103" s="52">
        <f t="shared" si="3"/>
        <v>0</v>
      </c>
      <c r="N103" s="49">
        <f t="shared" si="4"/>
        <v>0</v>
      </c>
    </row>
    <row r="104" spans="2:14">
      <c r="B104" s="2">
        <v>2022</v>
      </c>
      <c r="C104" s="2" t="s">
        <v>29</v>
      </c>
      <c r="D104" s="2"/>
      <c r="E104" s="2"/>
      <c r="F104" s="22" t="s">
        <v>44</v>
      </c>
      <c r="G104" s="2">
        <v>1</v>
      </c>
      <c r="H104" s="17">
        <v>1453332</v>
      </c>
      <c r="I104" s="37">
        <f t="shared" si="5"/>
        <v>1453332</v>
      </c>
      <c r="J104" s="5">
        <v>71301</v>
      </c>
      <c r="K104" s="52">
        <f t="shared" si="3"/>
        <v>20.383052131106155</v>
      </c>
      <c r="M104" s="49"/>
      <c r="N104" s="49">
        <f t="shared" si="4"/>
        <v>0</v>
      </c>
    </row>
    <row r="105" spans="2:14">
      <c r="B105" s="2">
        <v>2022</v>
      </c>
      <c r="C105" s="2" t="s">
        <v>30</v>
      </c>
      <c r="D105" s="2"/>
      <c r="E105" s="2"/>
      <c r="F105" s="7" t="s">
        <v>42</v>
      </c>
      <c r="G105" s="3">
        <v>0.85</v>
      </c>
      <c r="H105" s="17">
        <v>1387951</v>
      </c>
      <c r="I105" s="37">
        <f t="shared" si="5"/>
        <v>1179758.3499999999</v>
      </c>
      <c r="K105" s="52">
        <f t="shared" si="3"/>
        <v>0</v>
      </c>
      <c r="N105" s="49">
        <f t="shared" si="4"/>
        <v>0</v>
      </c>
    </row>
    <row r="106" spans="2:14">
      <c r="B106" s="2">
        <v>2022</v>
      </c>
      <c r="C106" s="2" t="s">
        <v>30</v>
      </c>
      <c r="D106" s="2"/>
      <c r="E106" s="2"/>
      <c r="F106" s="7" t="s">
        <v>43</v>
      </c>
      <c r="G106" s="3">
        <v>0.15</v>
      </c>
      <c r="H106" s="17">
        <v>1387951</v>
      </c>
      <c r="I106" s="37">
        <f t="shared" si="5"/>
        <v>208192.65</v>
      </c>
      <c r="K106" s="52">
        <f t="shared" si="3"/>
        <v>0</v>
      </c>
      <c r="N106" s="49">
        <f t="shared" si="4"/>
        <v>0</v>
      </c>
    </row>
    <row r="107" spans="2:14">
      <c r="B107" s="2">
        <v>2022</v>
      </c>
      <c r="C107" s="2" t="s">
        <v>30</v>
      </c>
      <c r="D107" s="2"/>
      <c r="E107" s="2"/>
      <c r="F107" s="22" t="s">
        <v>44</v>
      </c>
      <c r="G107" s="2">
        <v>1</v>
      </c>
      <c r="H107" s="17">
        <v>1387951</v>
      </c>
      <c r="I107" s="37">
        <f t="shared" si="5"/>
        <v>1387951</v>
      </c>
      <c r="J107" s="5">
        <v>75549</v>
      </c>
      <c r="K107" s="52">
        <f t="shared" si="3"/>
        <v>18.371533706601014</v>
      </c>
      <c r="M107" s="49"/>
      <c r="N107" s="49">
        <f t="shared" si="4"/>
        <v>0</v>
      </c>
    </row>
    <row r="108" spans="2:14">
      <c r="B108" s="2">
        <v>2022</v>
      </c>
      <c r="C108" s="2" t="s">
        <v>31</v>
      </c>
      <c r="D108" s="2"/>
      <c r="E108" s="2"/>
      <c r="F108" s="7" t="s">
        <v>42</v>
      </c>
      <c r="G108" s="3">
        <v>0.85</v>
      </c>
      <c r="H108" s="17">
        <v>1134683</v>
      </c>
      <c r="I108" s="37">
        <f t="shared" si="5"/>
        <v>964480.54999999993</v>
      </c>
      <c r="K108" s="52">
        <f t="shared" si="3"/>
        <v>0</v>
      </c>
      <c r="N108" s="49">
        <f t="shared" si="4"/>
        <v>0</v>
      </c>
    </row>
    <row r="109" spans="2:14">
      <c r="B109" s="2">
        <v>2022</v>
      </c>
      <c r="C109" s="2" t="s">
        <v>31</v>
      </c>
      <c r="D109" s="2"/>
      <c r="E109" s="2"/>
      <c r="F109" s="7" t="s">
        <v>43</v>
      </c>
      <c r="G109" s="3">
        <v>0.15</v>
      </c>
      <c r="H109" s="17">
        <v>1134683</v>
      </c>
      <c r="I109" s="37">
        <f t="shared" si="5"/>
        <v>170202.44999999998</v>
      </c>
      <c r="K109" s="52">
        <f t="shared" si="3"/>
        <v>0</v>
      </c>
      <c r="N109" s="49">
        <f t="shared" si="4"/>
        <v>0</v>
      </c>
    </row>
    <row r="110" spans="2:14">
      <c r="B110" s="2">
        <v>2022</v>
      </c>
      <c r="C110" s="2" t="s">
        <v>31</v>
      </c>
      <c r="D110" s="2"/>
      <c r="E110" s="2"/>
      <c r="F110" s="22" t="s">
        <v>44</v>
      </c>
      <c r="G110" s="2">
        <v>1</v>
      </c>
      <c r="H110" s="17">
        <v>1134683</v>
      </c>
      <c r="I110" s="37">
        <f t="shared" si="5"/>
        <v>1134683</v>
      </c>
      <c r="J110" s="5">
        <v>65606</v>
      </c>
      <c r="K110" s="52">
        <f t="shared" si="3"/>
        <v>17.295415053501205</v>
      </c>
      <c r="M110" s="49"/>
      <c r="N110" s="49">
        <f t="shared" si="4"/>
        <v>0</v>
      </c>
    </row>
    <row r="111" spans="2:14">
      <c r="B111" s="2">
        <v>2022</v>
      </c>
      <c r="C111" s="2" t="s">
        <v>14</v>
      </c>
      <c r="D111" s="2"/>
      <c r="E111" s="2"/>
      <c r="F111" s="7" t="s">
        <v>42</v>
      </c>
      <c r="G111" s="3">
        <v>0.85</v>
      </c>
      <c r="H111" s="17">
        <v>1155725</v>
      </c>
      <c r="I111">
        <f t="shared" si="5"/>
        <v>982366.25</v>
      </c>
      <c r="K111" s="52">
        <f t="shared" si="3"/>
        <v>0</v>
      </c>
      <c r="N111" s="49">
        <f t="shared" si="4"/>
        <v>0</v>
      </c>
    </row>
    <row r="112" spans="2:14">
      <c r="B112" s="2">
        <v>2022</v>
      </c>
      <c r="C112" s="2" t="s">
        <v>14</v>
      </c>
      <c r="D112" s="2"/>
      <c r="E112" s="2"/>
      <c r="F112" s="7" t="s">
        <v>43</v>
      </c>
      <c r="G112" s="3">
        <v>0.15</v>
      </c>
      <c r="H112" s="17">
        <v>1155725</v>
      </c>
      <c r="I112">
        <f t="shared" si="5"/>
        <v>173358.75</v>
      </c>
      <c r="K112" s="52">
        <f t="shared" si="3"/>
        <v>0</v>
      </c>
      <c r="N112" s="49">
        <f t="shared" si="4"/>
        <v>0</v>
      </c>
    </row>
    <row r="113" spans="2:14">
      <c r="B113" s="2">
        <v>2022</v>
      </c>
      <c r="C113" s="2" t="s">
        <v>14</v>
      </c>
      <c r="D113" s="2"/>
      <c r="E113" s="2"/>
      <c r="F113" s="22" t="s">
        <v>44</v>
      </c>
      <c r="G113" s="2">
        <v>1</v>
      </c>
      <c r="H113" s="17">
        <v>1155725</v>
      </c>
      <c r="I113">
        <f t="shared" si="5"/>
        <v>1155725</v>
      </c>
      <c r="J113" s="5">
        <v>59247</v>
      </c>
      <c r="K113" s="52">
        <f t="shared" si="3"/>
        <v>19.506894863874965</v>
      </c>
      <c r="M113" s="49"/>
      <c r="N113" s="49">
        <f t="shared" si="4"/>
        <v>0</v>
      </c>
    </row>
    <row r="114" spans="2:14">
      <c r="B114" s="2">
        <v>2022</v>
      </c>
      <c r="C114" s="2" t="s">
        <v>21</v>
      </c>
      <c r="D114" s="2"/>
      <c r="E114" s="2"/>
      <c r="F114" s="7" t="s">
        <v>42</v>
      </c>
      <c r="G114" s="3">
        <v>0.85</v>
      </c>
      <c r="H114" s="17">
        <v>1306518</v>
      </c>
      <c r="I114">
        <f t="shared" si="5"/>
        <v>1110540.3</v>
      </c>
      <c r="K114" s="52">
        <f t="shared" si="3"/>
        <v>0</v>
      </c>
      <c r="N114" s="49">
        <f t="shared" si="4"/>
        <v>0</v>
      </c>
    </row>
    <row r="115" spans="2:14">
      <c r="B115" s="2">
        <v>2022</v>
      </c>
      <c r="C115" s="2" t="s">
        <v>21</v>
      </c>
      <c r="D115" s="2"/>
      <c r="E115" s="2"/>
      <c r="F115" s="7" t="s">
        <v>43</v>
      </c>
      <c r="G115" s="3">
        <v>0.15</v>
      </c>
      <c r="H115" s="17">
        <v>1306518</v>
      </c>
      <c r="I115">
        <f t="shared" si="5"/>
        <v>195977.69999999998</v>
      </c>
      <c r="K115" s="52">
        <f t="shared" si="3"/>
        <v>0</v>
      </c>
      <c r="N115" s="49">
        <f t="shared" si="4"/>
        <v>0</v>
      </c>
    </row>
    <row r="116" spans="2:14">
      <c r="B116" s="2">
        <v>2022</v>
      </c>
      <c r="C116" s="2" t="s">
        <v>21</v>
      </c>
      <c r="D116" s="2"/>
      <c r="E116" s="2"/>
      <c r="F116" s="22" t="s">
        <v>44</v>
      </c>
      <c r="G116" s="2">
        <v>1</v>
      </c>
      <c r="H116" s="17">
        <v>1306518</v>
      </c>
      <c r="I116">
        <f t="shared" si="5"/>
        <v>1306518</v>
      </c>
      <c r="J116" s="5">
        <v>67861</v>
      </c>
      <c r="K116" s="52">
        <f t="shared" si="3"/>
        <v>19.252855100867951</v>
      </c>
      <c r="M116" s="49"/>
      <c r="N116" s="49">
        <f t="shared" si="4"/>
        <v>0</v>
      </c>
    </row>
    <row r="117" spans="2:14">
      <c r="B117" s="2">
        <v>2022</v>
      </c>
      <c r="C117" s="2" t="s">
        <v>22</v>
      </c>
      <c r="D117" s="2"/>
      <c r="E117" s="2"/>
      <c r="F117" s="7" t="s">
        <v>42</v>
      </c>
      <c r="G117" s="3">
        <v>0.85</v>
      </c>
      <c r="H117" s="17">
        <v>1226294</v>
      </c>
      <c r="I117">
        <f t="shared" si="5"/>
        <v>1042349.9</v>
      </c>
      <c r="K117" s="52">
        <f t="shared" si="3"/>
        <v>0</v>
      </c>
      <c r="N117" s="49">
        <f t="shared" si="4"/>
        <v>0</v>
      </c>
    </row>
    <row r="118" spans="2:14">
      <c r="B118" s="2">
        <v>2022</v>
      </c>
      <c r="C118" s="2" t="s">
        <v>22</v>
      </c>
      <c r="D118" s="2"/>
      <c r="E118" s="2"/>
      <c r="F118" s="7" t="s">
        <v>43</v>
      </c>
      <c r="G118" s="3">
        <v>0.15</v>
      </c>
      <c r="H118" s="17">
        <v>1226294</v>
      </c>
      <c r="I118">
        <f t="shared" si="5"/>
        <v>183944.1</v>
      </c>
      <c r="K118" s="52">
        <f t="shared" si="3"/>
        <v>0</v>
      </c>
      <c r="N118" s="49">
        <f t="shared" si="4"/>
        <v>0</v>
      </c>
    </row>
    <row r="119" spans="2:14">
      <c r="B119" s="2">
        <v>2022</v>
      </c>
      <c r="C119" s="2" t="s">
        <v>22</v>
      </c>
      <c r="D119" s="2"/>
      <c r="E119" s="2"/>
      <c r="F119" s="22" t="s">
        <v>44</v>
      </c>
      <c r="G119" s="2">
        <v>1</v>
      </c>
      <c r="H119" s="17">
        <v>1226294</v>
      </c>
      <c r="I119">
        <f t="shared" si="5"/>
        <v>1226294</v>
      </c>
      <c r="J119" s="5">
        <v>77100</v>
      </c>
      <c r="K119" s="52">
        <f t="shared" si="3"/>
        <v>15.905239948119325</v>
      </c>
      <c r="M119" s="49"/>
      <c r="N119" s="49">
        <f t="shared" si="4"/>
        <v>0</v>
      </c>
    </row>
    <row r="120" spans="2:14">
      <c r="B120" s="2">
        <v>2023</v>
      </c>
      <c r="C120" s="2" t="s">
        <v>23</v>
      </c>
      <c r="D120" s="2"/>
      <c r="E120" s="2"/>
      <c r="F120" s="7" t="s">
        <v>42</v>
      </c>
      <c r="G120" s="3">
        <v>0.85</v>
      </c>
      <c r="H120" s="17">
        <v>1314534</v>
      </c>
      <c r="I120">
        <f t="shared" si="5"/>
        <v>1117353.8999999999</v>
      </c>
      <c r="K120" s="52">
        <f t="shared" si="3"/>
        <v>0</v>
      </c>
      <c r="N120" s="49">
        <f t="shared" si="4"/>
        <v>0</v>
      </c>
    </row>
    <row r="121" spans="2:14">
      <c r="B121" s="2">
        <v>2023</v>
      </c>
      <c r="C121" s="2" t="s">
        <v>23</v>
      </c>
      <c r="D121" s="2"/>
      <c r="E121" s="2"/>
      <c r="F121" s="7" t="s">
        <v>43</v>
      </c>
      <c r="G121" s="3">
        <v>0.15</v>
      </c>
      <c r="H121" s="17">
        <v>1314534</v>
      </c>
      <c r="I121">
        <f t="shared" si="5"/>
        <v>197180.1</v>
      </c>
      <c r="K121" s="52">
        <f t="shared" si="3"/>
        <v>0</v>
      </c>
      <c r="N121" s="49">
        <f t="shared" si="4"/>
        <v>0</v>
      </c>
    </row>
    <row r="122" spans="2:14">
      <c r="B122" s="2">
        <v>2023</v>
      </c>
      <c r="C122" s="2" t="s">
        <v>23</v>
      </c>
      <c r="D122" s="2"/>
      <c r="E122" s="2"/>
      <c r="F122" s="22" t="s">
        <v>44</v>
      </c>
      <c r="G122" s="2">
        <v>1</v>
      </c>
      <c r="H122" s="17">
        <v>1314534</v>
      </c>
      <c r="I122">
        <f t="shared" si="5"/>
        <v>1314534</v>
      </c>
      <c r="J122" s="5">
        <v>68817</v>
      </c>
      <c r="K122" s="52">
        <f t="shared" si="3"/>
        <v>19.101878896202972</v>
      </c>
      <c r="M122" s="49"/>
      <c r="N122" s="49">
        <f t="shared" si="4"/>
        <v>0</v>
      </c>
    </row>
    <row r="123" spans="2:14">
      <c r="B123" s="2">
        <v>2023</v>
      </c>
      <c r="C123" s="2" t="s">
        <v>24</v>
      </c>
      <c r="D123" s="2"/>
      <c r="E123" s="2"/>
      <c r="F123" s="7" t="s">
        <v>42</v>
      </c>
      <c r="G123" s="3">
        <v>0.85</v>
      </c>
      <c r="H123" s="17">
        <v>1144298</v>
      </c>
      <c r="I123">
        <f t="shared" si="5"/>
        <v>972653.29999999993</v>
      </c>
      <c r="K123" s="52">
        <f t="shared" si="3"/>
        <v>0</v>
      </c>
      <c r="N123" s="49">
        <f t="shared" si="4"/>
        <v>0</v>
      </c>
    </row>
    <row r="124" spans="2:14">
      <c r="B124" s="2">
        <v>2023</v>
      </c>
      <c r="C124" s="2" t="s">
        <v>24</v>
      </c>
      <c r="D124" s="2"/>
      <c r="E124" s="2"/>
      <c r="F124" s="7" t="s">
        <v>43</v>
      </c>
      <c r="G124" s="3">
        <v>0.15</v>
      </c>
      <c r="H124" s="17">
        <v>1144298</v>
      </c>
      <c r="I124">
        <f t="shared" si="5"/>
        <v>171644.69999999998</v>
      </c>
      <c r="K124" s="52">
        <f t="shared" si="3"/>
        <v>0</v>
      </c>
      <c r="N124" s="49">
        <f t="shared" si="4"/>
        <v>0</v>
      </c>
    </row>
    <row r="125" spans="2:14">
      <c r="B125" s="2">
        <v>2023</v>
      </c>
      <c r="C125" s="2" t="s">
        <v>24</v>
      </c>
      <c r="D125" s="2"/>
      <c r="E125" s="2"/>
      <c r="F125" s="22" t="s">
        <v>44</v>
      </c>
      <c r="G125" s="2">
        <v>1</v>
      </c>
      <c r="H125" s="17">
        <v>1144298</v>
      </c>
      <c r="I125">
        <f t="shared" si="5"/>
        <v>1144298</v>
      </c>
      <c r="J125" s="5">
        <v>58897</v>
      </c>
      <c r="K125" s="52">
        <f t="shared" si="3"/>
        <v>19.428799429512537</v>
      </c>
      <c r="M125" s="49"/>
      <c r="N125" s="49">
        <f t="shared" si="4"/>
        <v>0</v>
      </c>
    </row>
    <row r="126" spans="2:14">
      <c r="B126" s="2">
        <v>2023</v>
      </c>
      <c r="C126" s="2" t="s">
        <v>25</v>
      </c>
      <c r="D126" s="2"/>
      <c r="E126" s="2"/>
      <c r="F126" s="7" t="s">
        <v>42</v>
      </c>
      <c r="G126" s="3">
        <v>0.85</v>
      </c>
      <c r="H126" s="17">
        <v>1501692</v>
      </c>
      <c r="I126">
        <f t="shared" si="5"/>
        <v>1276438.2</v>
      </c>
      <c r="K126" s="52">
        <f t="shared" si="3"/>
        <v>0</v>
      </c>
      <c r="N126" s="49">
        <f t="shared" si="4"/>
        <v>0</v>
      </c>
    </row>
    <row r="127" spans="2:14">
      <c r="B127" s="2">
        <v>2023</v>
      </c>
      <c r="C127" s="2" t="s">
        <v>25</v>
      </c>
      <c r="D127" s="2"/>
      <c r="E127" s="2"/>
      <c r="F127" s="7" t="s">
        <v>43</v>
      </c>
      <c r="G127" s="3">
        <v>0.15</v>
      </c>
      <c r="H127" s="17">
        <v>1501692</v>
      </c>
      <c r="I127">
        <f t="shared" si="5"/>
        <v>225253.8</v>
      </c>
      <c r="K127" s="52">
        <f t="shared" si="3"/>
        <v>0</v>
      </c>
      <c r="N127" s="49">
        <f t="shared" si="4"/>
        <v>0</v>
      </c>
    </row>
    <row r="128" spans="2:14">
      <c r="B128" s="2">
        <v>2023</v>
      </c>
      <c r="C128" s="2" t="s">
        <v>25</v>
      </c>
      <c r="D128" s="2"/>
      <c r="E128" s="2"/>
      <c r="F128" s="22" t="s">
        <v>44</v>
      </c>
      <c r="G128" s="2">
        <v>1</v>
      </c>
      <c r="H128" s="17">
        <v>1501692</v>
      </c>
      <c r="I128">
        <f t="shared" si="5"/>
        <v>1501692</v>
      </c>
      <c r="J128" s="5">
        <v>80977</v>
      </c>
      <c r="K128" s="52">
        <f t="shared" si="3"/>
        <v>18.544673178803858</v>
      </c>
      <c r="M128" s="49"/>
      <c r="N128" s="49">
        <f t="shared" si="4"/>
        <v>0</v>
      </c>
    </row>
    <row r="129" spans="2:14">
      <c r="B129" s="2">
        <v>2023</v>
      </c>
      <c r="C129" s="2" t="s">
        <v>26</v>
      </c>
      <c r="D129" s="2"/>
      <c r="E129" s="2"/>
      <c r="F129" s="7" t="s">
        <v>42</v>
      </c>
      <c r="G129" s="3">
        <v>0.85</v>
      </c>
      <c r="H129" s="17">
        <v>1144462</v>
      </c>
      <c r="I129">
        <f t="shared" si="5"/>
        <v>972792.7</v>
      </c>
      <c r="K129" s="52">
        <f t="shared" si="3"/>
        <v>0</v>
      </c>
      <c r="N129" s="49">
        <f t="shared" si="4"/>
        <v>0</v>
      </c>
    </row>
    <row r="130" spans="2:14">
      <c r="B130" s="2">
        <v>2023</v>
      </c>
      <c r="C130" s="2" t="s">
        <v>26</v>
      </c>
      <c r="D130" s="2"/>
      <c r="E130" s="2"/>
      <c r="F130" s="7" t="s">
        <v>43</v>
      </c>
      <c r="G130" s="3">
        <v>0.15</v>
      </c>
      <c r="H130" s="17">
        <v>1144462</v>
      </c>
      <c r="I130">
        <f t="shared" si="5"/>
        <v>171669.3</v>
      </c>
      <c r="K130" s="52">
        <f t="shared" si="3"/>
        <v>0</v>
      </c>
      <c r="N130" s="49">
        <f t="shared" si="4"/>
        <v>0</v>
      </c>
    </row>
    <row r="131" spans="2:14">
      <c r="B131" s="2">
        <v>2023</v>
      </c>
      <c r="C131" s="2" t="s">
        <v>26</v>
      </c>
      <c r="D131" s="2"/>
      <c r="E131" s="2"/>
      <c r="F131" s="22" t="s">
        <v>44</v>
      </c>
      <c r="G131" s="2">
        <v>1</v>
      </c>
      <c r="H131" s="17">
        <v>1144462</v>
      </c>
      <c r="I131">
        <f t="shared" si="5"/>
        <v>1144462</v>
      </c>
      <c r="J131" s="5">
        <v>77319</v>
      </c>
      <c r="K131" s="52">
        <f t="shared" ref="K131:K194" si="6">IFERROR(I131/J131,0)</f>
        <v>14.801821027173141</v>
      </c>
      <c r="M131" s="49"/>
      <c r="N131" s="49">
        <f t="shared" ref="N131:N194" si="7">M131*I131</f>
        <v>0</v>
      </c>
    </row>
    <row r="132" spans="2:14">
      <c r="B132" s="2">
        <v>2023</v>
      </c>
      <c r="C132" s="2" t="s">
        <v>27</v>
      </c>
      <c r="D132" s="2"/>
      <c r="E132" s="2"/>
      <c r="F132" s="7" t="s">
        <v>42</v>
      </c>
      <c r="G132" s="3">
        <v>0.85</v>
      </c>
      <c r="H132" s="17">
        <v>1295706</v>
      </c>
      <c r="I132">
        <f t="shared" ref="I132:I195" si="8">G132*H132</f>
        <v>1101350.0999999999</v>
      </c>
      <c r="K132" s="52">
        <f t="shared" si="6"/>
        <v>0</v>
      </c>
      <c r="N132" s="49">
        <f t="shared" si="7"/>
        <v>0</v>
      </c>
    </row>
    <row r="133" spans="2:14">
      <c r="B133" s="2">
        <v>2023</v>
      </c>
      <c r="C133" s="2" t="s">
        <v>27</v>
      </c>
      <c r="D133" s="2"/>
      <c r="E133" s="2"/>
      <c r="F133" s="7" t="s">
        <v>43</v>
      </c>
      <c r="G133" s="3">
        <v>0.15</v>
      </c>
      <c r="H133" s="17">
        <v>1295706</v>
      </c>
      <c r="I133">
        <f t="shared" si="8"/>
        <v>194355.9</v>
      </c>
      <c r="K133" s="52">
        <f t="shared" si="6"/>
        <v>0</v>
      </c>
      <c r="N133" s="49">
        <f t="shared" si="7"/>
        <v>0</v>
      </c>
    </row>
    <row r="134" spans="2:14">
      <c r="B134" s="2">
        <v>2023</v>
      </c>
      <c r="C134" s="2" t="s">
        <v>27</v>
      </c>
      <c r="D134" s="2"/>
      <c r="E134" s="2"/>
      <c r="F134" s="22" t="s">
        <v>44</v>
      </c>
      <c r="G134" s="2">
        <v>1</v>
      </c>
      <c r="H134" s="17">
        <v>1295706</v>
      </c>
      <c r="I134">
        <f t="shared" si="8"/>
        <v>1295706</v>
      </c>
      <c r="J134" s="5">
        <v>69640</v>
      </c>
      <c r="K134" s="52">
        <f t="shared" si="6"/>
        <v>18.605772544514647</v>
      </c>
      <c r="M134" s="49"/>
      <c r="N134" s="49">
        <f t="shared" si="7"/>
        <v>0</v>
      </c>
    </row>
    <row r="135" spans="2:14">
      <c r="B135" s="2">
        <v>2023</v>
      </c>
      <c r="C135" s="2" t="s">
        <v>28</v>
      </c>
      <c r="D135" s="2"/>
      <c r="E135" s="2"/>
      <c r="F135" s="7" t="s">
        <v>42</v>
      </c>
      <c r="G135" s="3">
        <v>0.85</v>
      </c>
      <c r="H135" s="17">
        <v>1312651</v>
      </c>
      <c r="I135">
        <f t="shared" si="8"/>
        <v>1115753.3499999999</v>
      </c>
      <c r="K135" s="52">
        <f t="shared" si="6"/>
        <v>0</v>
      </c>
      <c r="N135" s="49">
        <f t="shared" si="7"/>
        <v>0</v>
      </c>
    </row>
    <row r="136" spans="2:14">
      <c r="B136" s="2">
        <v>2023</v>
      </c>
      <c r="C136" s="2" t="s">
        <v>28</v>
      </c>
      <c r="D136" s="2"/>
      <c r="E136" s="2"/>
      <c r="F136" s="7" t="s">
        <v>43</v>
      </c>
      <c r="G136" s="3">
        <v>0.15</v>
      </c>
      <c r="H136" s="17">
        <v>1312651</v>
      </c>
      <c r="I136">
        <f t="shared" si="8"/>
        <v>196897.65</v>
      </c>
      <c r="K136" s="52">
        <f t="shared" si="6"/>
        <v>0</v>
      </c>
      <c r="N136" s="49">
        <f t="shared" si="7"/>
        <v>0</v>
      </c>
    </row>
    <row r="137" spans="2:14">
      <c r="B137" s="2">
        <v>2023</v>
      </c>
      <c r="C137" s="2" t="s">
        <v>28</v>
      </c>
      <c r="D137" s="2"/>
      <c r="E137" s="2"/>
      <c r="F137" s="22" t="s">
        <v>44</v>
      </c>
      <c r="G137" s="2">
        <v>1</v>
      </c>
      <c r="H137" s="17">
        <v>1312651</v>
      </c>
      <c r="I137">
        <f t="shared" si="8"/>
        <v>1312651</v>
      </c>
      <c r="J137" s="5">
        <v>76389</v>
      </c>
      <c r="K137" s="52">
        <f t="shared" si="6"/>
        <v>17.183769914516489</v>
      </c>
      <c r="M137" s="49"/>
      <c r="N137" s="49">
        <f t="shared" si="7"/>
        <v>0</v>
      </c>
    </row>
    <row r="138" spans="2:14">
      <c r="B138" s="2">
        <v>2023</v>
      </c>
      <c r="C138" s="2" t="s">
        <v>29</v>
      </c>
      <c r="D138" s="2"/>
      <c r="E138" s="2"/>
      <c r="F138" s="7" t="s">
        <v>42</v>
      </c>
      <c r="G138" s="3">
        <v>0.85</v>
      </c>
      <c r="H138" s="17">
        <v>1185859</v>
      </c>
      <c r="I138">
        <f t="shared" si="8"/>
        <v>1007980.15</v>
      </c>
      <c r="K138" s="52">
        <f t="shared" si="6"/>
        <v>0</v>
      </c>
      <c r="N138" s="49">
        <f t="shared" si="7"/>
        <v>0</v>
      </c>
    </row>
    <row r="139" spans="2:14">
      <c r="B139" s="2">
        <v>2023</v>
      </c>
      <c r="C139" s="2" t="s">
        <v>29</v>
      </c>
      <c r="D139" s="2"/>
      <c r="E139" s="2"/>
      <c r="F139" s="7" t="s">
        <v>43</v>
      </c>
      <c r="G139" s="3">
        <v>0.15</v>
      </c>
      <c r="H139" s="17">
        <v>1185859</v>
      </c>
      <c r="I139">
        <f t="shared" si="8"/>
        <v>177878.85</v>
      </c>
      <c r="K139" s="52">
        <f t="shared" si="6"/>
        <v>0</v>
      </c>
      <c r="N139" s="49">
        <f t="shared" si="7"/>
        <v>0</v>
      </c>
    </row>
    <row r="140" spans="2:14">
      <c r="B140" s="2">
        <v>2023</v>
      </c>
      <c r="C140" s="2" t="s">
        <v>29</v>
      </c>
      <c r="D140" s="2"/>
      <c r="E140" s="2"/>
      <c r="F140" s="22" t="s">
        <v>44</v>
      </c>
      <c r="G140" s="2">
        <v>1</v>
      </c>
      <c r="H140" s="17">
        <v>1185859</v>
      </c>
      <c r="I140">
        <f t="shared" si="8"/>
        <v>1185859</v>
      </c>
      <c r="J140" s="5">
        <v>65754</v>
      </c>
      <c r="K140" s="52">
        <f t="shared" si="6"/>
        <v>18.034781153998235</v>
      </c>
      <c r="M140" s="49"/>
      <c r="N140" s="49">
        <f t="shared" si="7"/>
        <v>0</v>
      </c>
    </row>
    <row r="141" spans="2:14">
      <c r="B141" s="2">
        <v>2023</v>
      </c>
      <c r="C141" s="2" t="s">
        <v>30</v>
      </c>
      <c r="D141" s="2"/>
      <c r="E141" s="2"/>
      <c r="F141" s="7" t="s">
        <v>42</v>
      </c>
      <c r="G141" s="3">
        <v>0.85</v>
      </c>
      <c r="H141" s="17">
        <v>964063</v>
      </c>
      <c r="I141">
        <f t="shared" si="8"/>
        <v>819453.54999999993</v>
      </c>
      <c r="K141" s="52">
        <f t="shared" si="6"/>
        <v>0</v>
      </c>
      <c r="N141" s="49">
        <f t="shared" si="7"/>
        <v>0</v>
      </c>
    </row>
    <row r="142" spans="2:14">
      <c r="B142" s="2">
        <v>2023</v>
      </c>
      <c r="C142" s="2" t="s">
        <v>30</v>
      </c>
      <c r="D142" s="2"/>
      <c r="E142" s="2"/>
      <c r="F142" s="7" t="s">
        <v>43</v>
      </c>
      <c r="G142" s="3">
        <v>0.15</v>
      </c>
      <c r="H142" s="17">
        <v>964063</v>
      </c>
      <c r="I142">
        <f t="shared" si="8"/>
        <v>144609.44999999998</v>
      </c>
      <c r="K142" s="52">
        <f t="shared" si="6"/>
        <v>0</v>
      </c>
      <c r="N142" s="49">
        <f t="shared" si="7"/>
        <v>0</v>
      </c>
    </row>
    <row r="143" spans="2:14">
      <c r="B143" s="2">
        <v>2023</v>
      </c>
      <c r="C143" s="2" t="s">
        <v>30</v>
      </c>
      <c r="D143" s="2"/>
      <c r="E143" s="2"/>
      <c r="F143" s="22" t="s">
        <v>44</v>
      </c>
      <c r="G143" s="2">
        <v>1</v>
      </c>
      <c r="H143" s="17">
        <v>964063</v>
      </c>
      <c r="I143">
        <f t="shared" si="8"/>
        <v>964063</v>
      </c>
      <c r="J143" s="5">
        <v>54617</v>
      </c>
      <c r="K143" s="52">
        <f t="shared" si="6"/>
        <v>17.651335664719777</v>
      </c>
      <c r="M143" s="49"/>
      <c r="N143" s="49">
        <f t="shared" si="7"/>
        <v>0</v>
      </c>
    </row>
    <row r="144" spans="2:14">
      <c r="B144" s="2">
        <v>2023</v>
      </c>
      <c r="C144" s="2" t="s">
        <v>31</v>
      </c>
      <c r="D144" s="2"/>
      <c r="E144" s="2"/>
      <c r="F144" s="7" t="s">
        <v>42</v>
      </c>
      <c r="G144" s="3">
        <v>0.85</v>
      </c>
      <c r="H144" s="17">
        <v>1404957</v>
      </c>
      <c r="I144">
        <f t="shared" si="8"/>
        <v>1194213.45</v>
      </c>
      <c r="K144" s="52">
        <f t="shared" si="6"/>
        <v>0</v>
      </c>
      <c r="N144" s="49">
        <f t="shared" si="7"/>
        <v>0</v>
      </c>
    </row>
    <row r="145" spans="2:14">
      <c r="B145" s="2">
        <v>2023</v>
      </c>
      <c r="C145" s="2" t="s">
        <v>31</v>
      </c>
      <c r="D145" s="2"/>
      <c r="E145" s="2"/>
      <c r="F145" s="7" t="s">
        <v>43</v>
      </c>
      <c r="G145" s="3">
        <v>0.15</v>
      </c>
      <c r="H145" s="17">
        <v>1404957</v>
      </c>
      <c r="I145">
        <f t="shared" si="8"/>
        <v>210743.55</v>
      </c>
      <c r="K145" s="52">
        <f t="shared" si="6"/>
        <v>0</v>
      </c>
      <c r="N145" s="49">
        <f t="shared" si="7"/>
        <v>0</v>
      </c>
    </row>
    <row r="146" spans="2:14">
      <c r="B146" s="2">
        <v>2023</v>
      </c>
      <c r="C146" s="2" t="s">
        <v>31</v>
      </c>
      <c r="D146" s="2"/>
      <c r="E146" s="2"/>
      <c r="F146" s="22" t="s">
        <v>44</v>
      </c>
      <c r="G146" s="2">
        <v>1</v>
      </c>
      <c r="H146" s="17">
        <v>1404957</v>
      </c>
      <c r="I146">
        <f t="shared" si="8"/>
        <v>1404957</v>
      </c>
      <c r="J146" s="5">
        <v>75119</v>
      </c>
      <c r="K146" s="52">
        <f t="shared" si="6"/>
        <v>18.703084439356221</v>
      </c>
      <c r="M146" s="49"/>
      <c r="N146" s="49">
        <f t="shared" si="7"/>
        <v>0</v>
      </c>
    </row>
    <row r="147" spans="2:14">
      <c r="B147" s="2">
        <v>2023</v>
      </c>
      <c r="C147" s="2" t="s">
        <v>14</v>
      </c>
      <c r="D147" s="2"/>
      <c r="E147" s="2"/>
      <c r="F147" s="7" t="s">
        <v>42</v>
      </c>
      <c r="G147" s="3">
        <v>0.85</v>
      </c>
      <c r="H147" s="17">
        <v>1097255</v>
      </c>
      <c r="I147">
        <f t="shared" si="8"/>
        <v>932666.75</v>
      </c>
      <c r="J147" s="5">
        <v>29289.998599115039</v>
      </c>
      <c r="K147" s="52">
        <f t="shared" si="6"/>
        <v>31.842498962365241</v>
      </c>
      <c r="N147" s="49">
        <f t="shared" si="7"/>
        <v>0</v>
      </c>
    </row>
    <row r="148" spans="2:14">
      <c r="B148" s="2">
        <v>2023</v>
      </c>
      <c r="C148" s="2" t="s">
        <v>14</v>
      </c>
      <c r="D148" s="2"/>
      <c r="E148" s="2"/>
      <c r="F148" s="7" t="s">
        <v>43</v>
      </c>
      <c r="G148" s="3">
        <v>0.15</v>
      </c>
      <c r="H148" s="17">
        <v>1097255</v>
      </c>
      <c r="I148">
        <f t="shared" si="8"/>
        <v>164588.25</v>
      </c>
      <c r="J148" s="5">
        <v>27009.352507226868</v>
      </c>
      <c r="K148" s="52">
        <f t="shared" si="6"/>
        <v>6.093750302083742</v>
      </c>
      <c r="N148" s="49">
        <f t="shared" si="7"/>
        <v>0</v>
      </c>
    </row>
    <row r="149" spans="2:14">
      <c r="B149" s="2">
        <v>2023</v>
      </c>
      <c r="C149" s="2" t="s">
        <v>14</v>
      </c>
      <c r="D149" s="2"/>
      <c r="E149" s="2"/>
      <c r="F149" s="22" t="s">
        <v>44</v>
      </c>
      <c r="G149" s="2">
        <v>1</v>
      </c>
      <c r="H149" s="17">
        <v>1097255</v>
      </c>
      <c r="I149">
        <f t="shared" si="8"/>
        <v>1097255</v>
      </c>
      <c r="J149" s="5">
        <f>SUM(J147:J148)</f>
        <v>56299.351106341906</v>
      </c>
      <c r="K149" s="52">
        <f t="shared" si="6"/>
        <v>19.489656247146311</v>
      </c>
      <c r="M149" s="49"/>
      <c r="N149" s="49">
        <f t="shared" si="7"/>
        <v>0</v>
      </c>
    </row>
    <row r="150" spans="2:14">
      <c r="B150" s="2">
        <v>2023</v>
      </c>
      <c r="C150" s="2" t="s">
        <v>21</v>
      </c>
      <c r="D150" s="2"/>
      <c r="E150" s="2"/>
      <c r="F150" s="7" t="s">
        <v>42</v>
      </c>
      <c r="G150" s="3">
        <v>0.85</v>
      </c>
      <c r="H150" s="17">
        <v>1247793</v>
      </c>
      <c r="I150">
        <f t="shared" si="8"/>
        <v>1060624.05</v>
      </c>
      <c r="J150" s="5">
        <v>33112.570857522129</v>
      </c>
      <c r="K150" s="52">
        <f t="shared" si="6"/>
        <v>32.030857844402611</v>
      </c>
      <c r="N150" s="49">
        <f t="shared" si="7"/>
        <v>0</v>
      </c>
    </row>
    <row r="151" spans="2:14">
      <c r="B151" s="2">
        <v>2023</v>
      </c>
      <c r="C151" s="2" t="s">
        <v>21</v>
      </c>
      <c r="D151" s="2"/>
      <c r="E151" s="2"/>
      <c r="F151" s="7" t="s">
        <v>43</v>
      </c>
      <c r="G151" s="3">
        <v>0.15</v>
      </c>
      <c r="H151" s="17">
        <v>1247793</v>
      </c>
      <c r="I151">
        <f t="shared" si="8"/>
        <v>187168.94999999998</v>
      </c>
      <c r="J151" s="5">
        <v>33561.877659674472</v>
      </c>
      <c r="K151" s="52">
        <f t="shared" si="6"/>
        <v>5.5768319012999878</v>
      </c>
      <c r="N151" s="49">
        <f t="shared" si="7"/>
        <v>0</v>
      </c>
    </row>
    <row r="152" spans="2:14">
      <c r="B152" s="2">
        <v>2023</v>
      </c>
      <c r="C152" s="2" t="s">
        <v>21</v>
      </c>
      <c r="D152" s="2"/>
      <c r="E152" s="2"/>
      <c r="F152" s="22" t="s">
        <v>44</v>
      </c>
      <c r="G152" s="2">
        <v>1</v>
      </c>
      <c r="H152" s="17">
        <v>1247793</v>
      </c>
      <c r="I152">
        <f t="shared" si="8"/>
        <v>1247793</v>
      </c>
      <c r="J152" s="5">
        <f>SUM(J150:J151)</f>
        <v>66674.448517196608</v>
      </c>
      <c r="K152" s="52">
        <f t="shared" si="6"/>
        <v>18.714710473805727</v>
      </c>
      <c r="M152" s="49"/>
      <c r="N152" s="49">
        <f t="shared" si="7"/>
        <v>0</v>
      </c>
    </row>
    <row r="153" spans="2:14">
      <c r="B153" s="2">
        <v>2023</v>
      </c>
      <c r="C153" s="2" t="s">
        <v>22</v>
      </c>
      <c r="D153" s="2"/>
      <c r="E153" s="2"/>
      <c r="F153" s="7" t="s">
        <v>42</v>
      </c>
      <c r="G153" s="3">
        <v>0.85</v>
      </c>
      <c r="H153" s="39">
        <v>1196082</v>
      </c>
      <c r="I153">
        <f t="shared" si="8"/>
        <v>1016669.7</v>
      </c>
      <c r="J153" s="5">
        <v>33705.951719291981</v>
      </c>
      <c r="K153" s="52">
        <f t="shared" si="6"/>
        <v>30.162913317712302</v>
      </c>
      <c r="N153" s="49">
        <f t="shared" si="7"/>
        <v>0</v>
      </c>
    </row>
    <row r="154" spans="2:14">
      <c r="B154" s="2">
        <v>2023</v>
      </c>
      <c r="C154" s="2" t="s">
        <v>22</v>
      </c>
      <c r="D154" s="2"/>
      <c r="E154" s="2"/>
      <c r="F154" s="7" t="s">
        <v>43</v>
      </c>
      <c r="G154" s="3">
        <v>0.15</v>
      </c>
      <c r="H154" s="39">
        <v>1196082</v>
      </c>
      <c r="I154">
        <f t="shared" si="8"/>
        <v>179412.3</v>
      </c>
      <c r="J154" s="5">
        <v>32000.696842891375</v>
      </c>
      <c r="K154" s="52">
        <f t="shared" si="6"/>
        <v>5.6065122856802594</v>
      </c>
      <c r="N154" s="49">
        <f t="shared" si="7"/>
        <v>0</v>
      </c>
    </row>
    <row r="155" spans="2:14">
      <c r="B155" s="2">
        <v>2023</v>
      </c>
      <c r="C155" s="2" t="s">
        <v>22</v>
      </c>
      <c r="D155" s="2"/>
      <c r="E155" s="2"/>
      <c r="F155" s="22" t="s">
        <v>44</v>
      </c>
      <c r="G155" s="2">
        <v>1</v>
      </c>
      <c r="H155" s="39">
        <v>1196082</v>
      </c>
      <c r="I155">
        <f t="shared" si="8"/>
        <v>1196082</v>
      </c>
      <c r="J155" s="5">
        <f>SUM(J153:J154)</f>
        <v>65706.648562183356</v>
      </c>
      <c r="K155" s="52">
        <f t="shared" si="6"/>
        <v>18.203363376052483</v>
      </c>
      <c r="M155" s="49"/>
      <c r="N155" s="49">
        <f t="shared" si="7"/>
        <v>0</v>
      </c>
    </row>
    <row r="156" spans="2:14">
      <c r="B156" s="2">
        <v>2024</v>
      </c>
      <c r="C156" s="2" t="s">
        <v>23</v>
      </c>
      <c r="D156" s="2"/>
      <c r="E156" s="2"/>
      <c r="F156" s="7" t="s">
        <v>42</v>
      </c>
      <c r="G156" s="3">
        <v>0.85</v>
      </c>
      <c r="H156" s="17">
        <v>1144800</v>
      </c>
      <c r="I156">
        <f t="shared" si="8"/>
        <v>973080</v>
      </c>
      <c r="J156" s="5">
        <v>29833.039061415944</v>
      </c>
      <c r="K156" s="52">
        <f t="shared" si="6"/>
        <v>32.617528438747513</v>
      </c>
      <c r="N156" s="49">
        <f t="shared" si="7"/>
        <v>0</v>
      </c>
    </row>
    <row r="157" spans="2:14">
      <c r="B157" s="2">
        <v>2024</v>
      </c>
      <c r="C157" s="2" t="s">
        <v>23</v>
      </c>
      <c r="D157" s="2"/>
      <c r="E157" s="2"/>
      <c r="F157" s="7" t="s">
        <v>43</v>
      </c>
      <c r="G157" s="3">
        <v>0.15</v>
      </c>
      <c r="H157" s="17">
        <v>1144800</v>
      </c>
      <c r="I157">
        <f t="shared" si="8"/>
        <v>171720</v>
      </c>
      <c r="J157" s="5">
        <v>30813.763175758319</v>
      </c>
      <c r="K157" s="52">
        <f t="shared" si="6"/>
        <v>5.5728344188448515</v>
      </c>
      <c r="N157" s="49">
        <f t="shared" si="7"/>
        <v>0</v>
      </c>
    </row>
    <row r="158" spans="2:14">
      <c r="B158" s="2">
        <v>2024</v>
      </c>
      <c r="C158" s="2" t="s">
        <v>23</v>
      </c>
      <c r="D158" s="2"/>
      <c r="E158" s="2"/>
      <c r="F158" s="22" t="s">
        <v>44</v>
      </c>
      <c r="G158" s="2">
        <v>1</v>
      </c>
      <c r="H158" s="17">
        <v>1144800</v>
      </c>
      <c r="I158">
        <f t="shared" si="8"/>
        <v>1144800</v>
      </c>
      <c r="J158" s="5">
        <f>SUM(J156:J157)</f>
        <v>60646.802237174263</v>
      </c>
      <c r="K158" s="52">
        <f t="shared" si="6"/>
        <v>18.876510512837552</v>
      </c>
      <c r="M158" s="49"/>
      <c r="N158" s="49">
        <f t="shared" si="7"/>
        <v>0</v>
      </c>
    </row>
    <row r="159" spans="2:14">
      <c r="B159" s="2">
        <v>2024</v>
      </c>
      <c r="C159" s="2" t="s">
        <v>24</v>
      </c>
      <c r="D159" s="2"/>
      <c r="E159" s="2"/>
      <c r="F159" s="7" t="s">
        <v>42</v>
      </c>
      <c r="G159" s="3">
        <v>0.85</v>
      </c>
      <c r="H159" s="17">
        <v>1183995</v>
      </c>
      <c r="I159">
        <f t="shared" si="8"/>
        <v>1006395.75</v>
      </c>
      <c r="J159" s="5">
        <v>30877.384878230077</v>
      </c>
      <c r="K159" s="52">
        <f t="shared" si="6"/>
        <v>32.593296160568102</v>
      </c>
      <c r="M159" s="49">
        <v>455.92172674403128</v>
      </c>
      <c r="N159" s="49">
        <f t="shared" si="7"/>
        <v>458837688.12785441</v>
      </c>
    </row>
    <row r="160" spans="2:14">
      <c r="B160" s="2">
        <v>2024</v>
      </c>
      <c r="C160" s="2" t="s">
        <v>24</v>
      </c>
      <c r="D160" s="2"/>
      <c r="E160" s="2"/>
      <c r="F160" s="7" t="s">
        <v>43</v>
      </c>
      <c r="G160" s="3">
        <v>0.15</v>
      </c>
      <c r="H160" s="17">
        <v>1183995</v>
      </c>
      <c r="I160">
        <f t="shared" si="8"/>
        <v>177599.25</v>
      </c>
      <c r="J160" s="5">
        <v>31916.894357110272</v>
      </c>
      <c r="K160" s="52">
        <f t="shared" si="6"/>
        <v>5.5644276668301655</v>
      </c>
      <c r="M160" s="49">
        <v>455.92172674403128</v>
      </c>
      <c r="N160" s="49">
        <f t="shared" si="7"/>
        <v>80971356.728444889</v>
      </c>
    </row>
    <row r="161" spans="2:14">
      <c r="B161" s="2">
        <v>2024</v>
      </c>
      <c r="C161" s="2" t="s">
        <v>24</v>
      </c>
      <c r="D161" s="2"/>
      <c r="E161" s="2"/>
      <c r="F161" s="22" t="s">
        <v>44</v>
      </c>
      <c r="G161" s="2">
        <v>1</v>
      </c>
      <c r="H161" s="17">
        <v>1183995</v>
      </c>
      <c r="I161">
        <f t="shared" si="8"/>
        <v>1183995</v>
      </c>
      <c r="J161" s="5">
        <f>SUM(J159:J160)</f>
        <v>62794.279235340349</v>
      </c>
      <c r="K161" s="52">
        <f t="shared" si="6"/>
        <v>18.85514117556194</v>
      </c>
      <c r="M161" s="49">
        <v>455.92172674403128</v>
      </c>
      <c r="N161" s="49">
        <f t="shared" si="7"/>
        <v>539809044.85629928</v>
      </c>
    </row>
    <row r="162" spans="2:14">
      <c r="B162" s="2">
        <v>2024</v>
      </c>
      <c r="C162" s="2" t="s">
        <v>25</v>
      </c>
      <c r="D162" s="2"/>
      <c r="E162" s="2"/>
      <c r="F162" s="7" t="s">
        <v>42</v>
      </c>
      <c r="G162" s="3">
        <v>0.85</v>
      </c>
      <c r="H162" s="17">
        <v>1239950</v>
      </c>
      <c r="I162">
        <f t="shared" si="8"/>
        <v>1053957.5</v>
      </c>
      <c r="J162" s="5">
        <v>41534.133495433649</v>
      </c>
      <c r="K162" s="52">
        <f t="shared" si="6"/>
        <v>25.375694911653191</v>
      </c>
      <c r="M162" s="49">
        <v>453.09662786373968</v>
      </c>
      <c r="N162" s="49">
        <f t="shared" si="7"/>
        <v>477544589.16169745</v>
      </c>
    </row>
    <row r="163" spans="2:14">
      <c r="B163" s="2">
        <v>2024</v>
      </c>
      <c r="C163" s="2" t="s">
        <v>25</v>
      </c>
      <c r="D163" s="2"/>
      <c r="E163" s="2"/>
      <c r="F163" s="7" t="s">
        <v>43</v>
      </c>
      <c r="G163" s="3">
        <v>0.15</v>
      </c>
      <c r="H163" s="17">
        <v>1239950</v>
      </c>
      <c r="I163">
        <f t="shared" si="8"/>
        <v>185992.5</v>
      </c>
      <c r="J163" s="5">
        <v>32157.534205128894</v>
      </c>
      <c r="K163" s="52">
        <f t="shared" si="6"/>
        <v>5.783792339722849</v>
      </c>
      <c r="M163" s="49">
        <v>453.09662786373968</v>
      </c>
      <c r="N163" s="49">
        <f t="shared" si="7"/>
        <v>84272574.557946607</v>
      </c>
    </row>
    <row r="164" spans="2:14">
      <c r="B164" s="2">
        <v>2024</v>
      </c>
      <c r="C164" s="2" t="s">
        <v>25</v>
      </c>
      <c r="D164" s="2"/>
      <c r="E164" s="2"/>
      <c r="F164" s="22" t="s">
        <v>44</v>
      </c>
      <c r="G164" s="2">
        <v>1</v>
      </c>
      <c r="H164" s="17">
        <v>1239950</v>
      </c>
      <c r="I164">
        <f t="shared" si="8"/>
        <v>1239950</v>
      </c>
      <c r="J164" s="5">
        <f>SUM(J162:J163)</f>
        <v>73691.667700562539</v>
      </c>
      <c r="K164" s="52">
        <f t="shared" si="6"/>
        <v>16.826189970871493</v>
      </c>
      <c r="M164" s="49">
        <v>453.09662786373968</v>
      </c>
      <c r="N164" s="49">
        <f t="shared" si="7"/>
        <v>561817163.71964407</v>
      </c>
    </row>
    <row r="165" spans="2:14">
      <c r="B165" s="2">
        <v>2024</v>
      </c>
      <c r="C165" s="2" t="s">
        <v>26</v>
      </c>
      <c r="D165" s="2"/>
      <c r="E165" s="2"/>
      <c r="F165" s="7" t="s">
        <v>42</v>
      </c>
      <c r="G165" s="3">
        <v>0.85</v>
      </c>
      <c r="H165" s="17">
        <v>1307030</v>
      </c>
      <c r="I165">
        <f t="shared" si="8"/>
        <v>1110975.5</v>
      </c>
      <c r="J165" s="5">
        <v>37331.488972247775</v>
      </c>
      <c r="K165" s="52">
        <f t="shared" si="6"/>
        <v>29.759742527974147</v>
      </c>
      <c r="M165" s="49">
        <v>481.92101950450046</v>
      </c>
      <c r="N165" s="49">
        <f t="shared" si="7"/>
        <v>535402445.60452217</v>
      </c>
    </row>
    <row r="166" spans="2:14">
      <c r="B166" s="2">
        <v>2024</v>
      </c>
      <c r="C166" s="2" t="s">
        <v>26</v>
      </c>
      <c r="D166" s="2"/>
      <c r="E166" s="2"/>
      <c r="F166" s="7" t="s">
        <v>43</v>
      </c>
      <c r="G166" s="3">
        <v>0.15</v>
      </c>
      <c r="H166" s="17">
        <v>1307030</v>
      </c>
      <c r="I166">
        <f t="shared" si="8"/>
        <v>196054.5</v>
      </c>
      <c r="J166" s="5">
        <v>31299.339505828237</v>
      </c>
      <c r="K166" s="52">
        <f t="shared" si="6"/>
        <v>6.2638542248948346</v>
      </c>
      <c r="M166" s="49">
        <v>481.92101950450046</v>
      </c>
      <c r="N166" s="49">
        <f t="shared" si="7"/>
        <v>94482784.518445089</v>
      </c>
    </row>
    <row r="167" spans="2:14">
      <c r="B167" s="2">
        <v>2024</v>
      </c>
      <c r="C167" s="2" t="s">
        <v>26</v>
      </c>
      <c r="D167" s="2"/>
      <c r="E167" s="2"/>
      <c r="F167" s="22" t="s">
        <v>44</v>
      </c>
      <c r="G167" s="2">
        <v>1</v>
      </c>
      <c r="H167" s="17">
        <v>1307030</v>
      </c>
      <c r="I167">
        <f t="shared" si="8"/>
        <v>1307030</v>
      </c>
      <c r="J167" s="5">
        <f>SUM(J165:J166)</f>
        <v>68630.828478076015</v>
      </c>
      <c r="K167" s="52">
        <f t="shared" si="6"/>
        <v>19.044357018326366</v>
      </c>
      <c r="M167" s="49">
        <v>481.92101950450046</v>
      </c>
      <c r="N167" s="49">
        <f t="shared" si="7"/>
        <v>629885230.12296724</v>
      </c>
    </row>
    <row r="168" spans="2:14">
      <c r="B168" s="2">
        <v>2024</v>
      </c>
      <c r="C168" s="2" t="s">
        <v>27</v>
      </c>
      <c r="D168" s="2"/>
      <c r="E168" s="2"/>
      <c r="F168" s="7" t="s">
        <v>42</v>
      </c>
      <c r="G168" s="3">
        <v>0.85</v>
      </c>
      <c r="H168" s="17">
        <v>1327024</v>
      </c>
      <c r="I168">
        <f t="shared" si="8"/>
        <v>1127970.3999999999</v>
      </c>
      <c r="J168" s="5">
        <v>42084.817659823006</v>
      </c>
      <c r="K168" s="52">
        <f t="shared" si="6"/>
        <v>26.802311682030552</v>
      </c>
      <c r="M168" s="49">
        <v>462.44617758432958</v>
      </c>
      <c r="N168" s="49">
        <f t="shared" si="7"/>
        <v>521625599.9082672</v>
      </c>
    </row>
    <row r="169" spans="2:14">
      <c r="B169" s="2">
        <v>2024</v>
      </c>
      <c r="C169" s="2" t="s">
        <v>27</v>
      </c>
      <c r="D169" s="2"/>
      <c r="E169" s="2"/>
      <c r="F169" s="7" t="s">
        <v>43</v>
      </c>
      <c r="G169" s="3">
        <v>0.15</v>
      </c>
      <c r="H169" s="17">
        <v>1327024</v>
      </c>
      <c r="I169">
        <f t="shared" si="8"/>
        <v>199053.6</v>
      </c>
      <c r="J169" s="5">
        <v>33277.246200467802</v>
      </c>
      <c r="K169" s="52">
        <f t="shared" si="6"/>
        <v>5.9816728463908104</v>
      </c>
      <c r="M169" s="49">
        <v>462.44617758432958</v>
      </c>
      <c r="N169" s="49">
        <f t="shared" si="7"/>
        <v>92051576.454400107</v>
      </c>
    </row>
    <row r="170" spans="2:14">
      <c r="B170" s="2">
        <v>2024</v>
      </c>
      <c r="C170" s="2" t="s">
        <v>27</v>
      </c>
      <c r="D170" s="2"/>
      <c r="E170" s="2"/>
      <c r="F170" s="22" t="s">
        <v>44</v>
      </c>
      <c r="G170" s="2">
        <v>1</v>
      </c>
      <c r="H170" s="17">
        <v>1327024</v>
      </c>
      <c r="I170">
        <f t="shared" si="8"/>
        <v>1327024</v>
      </c>
      <c r="J170" s="5">
        <f>SUM(J168:J169)</f>
        <v>75362.0638602908</v>
      </c>
      <c r="K170" s="52">
        <f t="shared" si="6"/>
        <v>17.608647269269191</v>
      </c>
      <c r="M170" s="49">
        <v>462.44617758432958</v>
      </c>
      <c r="N170" s="49">
        <f t="shared" si="7"/>
        <v>613677176.36266732</v>
      </c>
    </row>
    <row r="171" spans="2:14">
      <c r="B171" s="2">
        <v>2024</v>
      </c>
      <c r="C171" s="2" t="s">
        <v>28</v>
      </c>
      <c r="D171" s="2"/>
      <c r="E171" s="2"/>
      <c r="F171" s="7" t="s">
        <v>42</v>
      </c>
      <c r="G171" s="3">
        <v>0.85</v>
      </c>
      <c r="H171" s="17">
        <v>1209501</v>
      </c>
      <c r="I171">
        <f t="shared" si="8"/>
        <v>1028075.85</v>
      </c>
      <c r="J171" s="5">
        <v>32412.124603893797</v>
      </c>
      <c r="K171" s="52">
        <f t="shared" si="6"/>
        <v>31.718866398424655</v>
      </c>
      <c r="M171" s="49">
        <v>474.06906966266843</v>
      </c>
      <c r="N171" s="49">
        <f t="shared" si="7"/>
        <v>487378961.75215703</v>
      </c>
    </row>
    <row r="172" spans="2:14">
      <c r="B172" s="2">
        <v>2024</v>
      </c>
      <c r="C172" s="2" t="s">
        <v>28</v>
      </c>
      <c r="D172" s="2"/>
      <c r="E172" s="2"/>
      <c r="F172" s="7" t="s">
        <v>43</v>
      </c>
      <c r="G172" s="3">
        <v>0.15</v>
      </c>
      <c r="H172" s="17">
        <v>1209501</v>
      </c>
      <c r="I172">
        <f t="shared" si="8"/>
        <v>181425.15</v>
      </c>
      <c r="J172" s="5">
        <v>28687.921200932309</v>
      </c>
      <c r="K172" s="52">
        <f t="shared" si="6"/>
        <v>6.3240953824881529</v>
      </c>
      <c r="M172" s="49">
        <v>474.06906966266843</v>
      </c>
      <c r="N172" s="49">
        <f t="shared" si="7"/>
        <v>86008052.073910072</v>
      </c>
    </row>
    <row r="173" spans="2:14">
      <c r="B173" s="2">
        <v>2024</v>
      </c>
      <c r="C173" s="2" t="s">
        <v>28</v>
      </c>
      <c r="D173" s="2"/>
      <c r="E173" s="2"/>
      <c r="F173" s="22" t="s">
        <v>44</v>
      </c>
      <c r="G173" s="2">
        <v>1</v>
      </c>
      <c r="H173" s="17">
        <v>1209501</v>
      </c>
      <c r="I173">
        <f t="shared" si="8"/>
        <v>1209501</v>
      </c>
      <c r="J173" s="5">
        <f>SUM(J171:J172)</f>
        <v>61100.045804826106</v>
      </c>
      <c r="K173" s="52">
        <f t="shared" si="6"/>
        <v>19.795418875192812</v>
      </c>
      <c r="M173" s="49">
        <v>474.06906966266843</v>
      </c>
      <c r="N173" s="49">
        <f t="shared" si="7"/>
        <v>573387013.82606709</v>
      </c>
    </row>
    <row r="174" spans="2:14">
      <c r="B174" s="2">
        <v>2024</v>
      </c>
      <c r="C174" s="2" t="s">
        <v>29</v>
      </c>
      <c r="D174" s="2"/>
      <c r="E174" s="2"/>
      <c r="F174" s="7" t="s">
        <v>42</v>
      </c>
      <c r="G174" s="3">
        <v>0.85</v>
      </c>
      <c r="H174" s="17">
        <v>1375874</v>
      </c>
      <c r="I174">
        <f t="shared" si="8"/>
        <v>1169492.8999999999</v>
      </c>
      <c r="J174" s="5">
        <v>38580.442181415921</v>
      </c>
      <c r="K174" s="52">
        <f t="shared" si="6"/>
        <v>30.313102543011833</v>
      </c>
      <c r="M174" s="49">
        <v>475.41747901503527</v>
      </c>
      <c r="N174" s="49">
        <f t="shared" si="7"/>
        <v>555997366.24398267</v>
      </c>
    </row>
    <row r="175" spans="2:14">
      <c r="B175" s="2">
        <v>2024</v>
      </c>
      <c r="C175" s="2" t="s">
        <v>29</v>
      </c>
      <c r="D175" s="2"/>
      <c r="E175" s="2"/>
      <c r="F175" s="7" t="s">
        <v>43</v>
      </c>
      <c r="G175" s="3">
        <v>0.15</v>
      </c>
      <c r="H175" s="17">
        <v>1375874</v>
      </c>
      <c r="I175">
        <f t="shared" si="8"/>
        <v>206381.1</v>
      </c>
      <c r="J175" s="5">
        <v>33755.132419580375</v>
      </c>
      <c r="K175" s="52">
        <f t="shared" si="6"/>
        <v>6.1140657792319697</v>
      </c>
      <c r="M175" s="49">
        <v>475.41747901503527</v>
      </c>
      <c r="N175" s="49">
        <f t="shared" si="7"/>
        <v>98117182.278349891</v>
      </c>
    </row>
    <row r="176" spans="2:14">
      <c r="B176" s="2">
        <v>2024</v>
      </c>
      <c r="C176" s="2" t="s">
        <v>29</v>
      </c>
      <c r="D176" s="2"/>
      <c r="E176" s="2"/>
      <c r="F176" s="22" t="s">
        <v>44</v>
      </c>
      <c r="G176" s="2">
        <v>1</v>
      </c>
      <c r="H176" s="17">
        <v>1375874</v>
      </c>
      <c r="I176">
        <f t="shared" si="8"/>
        <v>1375874</v>
      </c>
      <c r="J176" s="5">
        <f>SUM(J174:J175)</f>
        <v>72335.574600996304</v>
      </c>
      <c r="K176" s="52">
        <f t="shared" si="6"/>
        <v>19.020710177382757</v>
      </c>
      <c r="M176" s="49">
        <v>475.41747901503527</v>
      </c>
      <c r="N176" s="49">
        <f t="shared" si="7"/>
        <v>654114548.52233267</v>
      </c>
    </row>
    <row r="177" spans="2:14">
      <c r="B177" s="2">
        <v>2024</v>
      </c>
      <c r="C177" s="2" t="s">
        <v>30</v>
      </c>
      <c r="D177" s="2"/>
      <c r="E177" s="2"/>
      <c r="F177" s="7" t="s">
        <v>42</v>
      </c>
      <c r="G177" s="3">
        <v>0.85</v>
      </c>
      <c r="H177" s="17">
        <v>1372420</v>
      </c>
      <c r="I177">
        <f t="shared" si="8"/>
        <v>1166557</v>
      </c>
      <c r="J177" s="5">
        <v>36629.911278053085</v>
      </c>
      <c r="K177" s="52">
        <f t="shared" si="6"/>
        <v>31.847115084303955</v>
      </c>
      <c r="M177" s="49">
        <v>450.63058053084831</v>
      </c>
      <c r="N177" s="49">
        <f t="shared" si="7"/>
        <v>525686258.13232481</v>
      </c>
    </row>
    <row r="178" spans="2:14">
      <c r="B178" s="2">
        <v>2024</v>
      </c>
      <c r="C178" s="2" t="s">
        <v>30</v>
      </c>
      <c r="D178" s="2"/>
      <c r="E178" s="2"/>
      <c r="F178" s="7" t="s">
        <v>43</v>
      </c>
      <c r="G178" s="3">
        <v>0.15</v>
      </c>
      <c r="H178" s="17">
        <v>1372420</v>
      </c>
      <c r="I178">
        <f t="shared" si="8"/>
        <v>205863</v>
      </c>
      <c r="J178" s="5">
        <v>31143.280658276391</v>
      </c>
      <c r="K178" s="52">
        <f t="shared" si="6"/>
        <v>6.6101899237545956</v>
      </c>
      <c r="M178" s="49">
        <v>450.63058053084831</v>
      </c>
      <c r="N178" s="49">
        <f t="shared" si="7"/>
        <v>92768163.199822024</v>
      </c>
    </row>
    <row r="179" spans="2:14">
      <c r="B179" s="2">
        <v>2024</v>
      </c>
      <c r="C179" s="2" t="s">
        <v>30</v>
      </c>
      <c r="D179" s="2"/>
      <c r="E179" s="2"/>
      <c r="F179" s="22" t="s">
        <v>44</v>
      </c>
      <c r="G179" s="2">
        <v>1</v>
      </c>
      <c r="H179" s="17">
        <v>1372420</v>
      </c>
      <c r="I179">
        <f t="shared" si="8"/>
        <v>1372420</v>
      </c>
      <c r="J179" s="5">
        <f>SUM(J177:J178)</f>
        <v>67773.191936329473</v>
      </c>
      <c r="K179" s="52">
        <f t="shared" si="6"/>
        <v>20.250189799077788</v>
      </c>
      <c r="M179" s="49">
        <v>450.63058053084831</v>
      </c>
      <c r="N179" s="49">
        <f t="shared" si="7"/>
        <v>618454421.33214688</v>
      </c>
    </row>
    <row r="180" spans="2:14">
      <c r="B180" s="2">
        <v>2024</v>
      </c>
      <c r="C180" s="2" t="s">
        <v>31</v>
      </c>
      <c r="D180" s="2"/>
      <c r="E180" s="2"/>
      <c r="F180" s="7" t="s">
        <v>42</v>
      </c>
      <c r="G180" s="3">
        <v>0.85</v>
      </c>
      <c r="H180" s="17">
        <v>1286607</v>
      </c>
      <c r="I180">
        <f t="shared" si="8"/>
        <v>1093615.95</v>
      </c>
      <c r="J180" s="5">
        <v>35429.850983008808</v>
      </c>
      <c r="K180" s="52">
        <f t="shared" si="6"/>
        <v>30.867077327659899</v>
      </c>
      <c r="M180" s="49">
        <v>443.50583749579579</v>
      </c>
      <c r="N180" s="49">
        <f t="shared" si="7"/>
        <v>485025057.80351031</v>
      </c>
    </row>
    <row r="181" spans="2:14">
      <c r="B181" s="2">
        <v>2024</v>
      </c>
      <c r="C181" s="2" t="s">
        <v>31</v>
      </c>
      <c r="D181" s="2"/>
      <c r="E181" s="2"/>
      <c r="F181" s="7" t="s">
        <v>43</v>
      </c>
      <c r="G181" s="3">
        <v>0.15</v>
      </c>
      <c r="H181" s="17">
        <v>1286607</v>
      </c>
      <c r="I181">
        <f t="shared" si="8"/>
        <v>192991.05</v>
      </c>
      <c r="J181" s="5">
        <v>27847.301504895062</v>
      </c>
      <c r="K181" s="52">
        <f t="shared" si="6"/>
        <v>6.9303321891378085</v>
      </c>
      <c r="M181" s="49">
        <v>443.50583749579579</v>
      </c>
      <c r="N181" s="49">
        <f t="shared" si="7"/>
        <v>85592657.259443</v>
      </c>
    </row>
    <row r="182" spans="2:14">
      <c r="B182" s="2">
        <v>2024</v>
      </c>
      <c r="C182" s="2" t="s">
        <v>31</v>
      </c>
      <c r="D182" s="2"/>
      <c r="E182" s="2"/>
      <c r="F182" s="22" t="s">
        <v>44</v>
      </c>
      <c r="G182" s="2">
        <v>1</v>
      </c>
      <c r="H182" s="17">
        <v>1286607</v>
      </c>
      <c r="I182">
        <f t="shared" si="8"/>
        <v>1286607</v>
      </c>
      <c r="J182" s="5">
        <f>SUM(J180:J181)</f>
        <v>63277.15248790387</v>
      </c>
      <c r="K182" s="52">
        <f t="shared" si="6"/>
        <v>20.332883978082755</v>
      </c>
      <c r="M182" s="49">
        <v>443.50583749579579</v>
      </c>
      <c r="N182" s="49">
        <f t="shared" si="7"/>
        <v>570617715.06295335</v>
      </c>
    </row>
    <row r="183" spans="2:14">
      <c r="B183" s="2">
        <v>2024</v>
      </c>
      <c r="C183" s="2" t="s">
        <v>14</v>
      </c>
      <c r="D183" s="2"/>
      <c r="E183" s="2"/>
      <c r="F183" s="7" t="s">
        <v>42</v>
      </c>
      <c r="G183" s="3">
        <v>0.85</v>
      </c>
      <c r="H183" s="17">
        <v>1288209</v>
      </c>
      <c r="I183">
        <f t="shared" si="8"/>
        <v>1094977.6499999999</v>
      </c>
      <c r="J183" s="5">
        <v>33790.736283716818</v>
      </c>
      <c r="K183" s="52">
        <f t="shared" si="6"/>
        <v>32.404669753456986</v>
      </c>
      <c r="M183" s="49">
        <v>452.2763812634293</v>
      </c>
      <c r="N183" s="49">
        <f t="shared" si="7"/>
        <v>495232529.10633379</v>
      </c>
    </row>
    <row r="184" spans="2:14">
      <c r="B184" s="2">
        <v>2024</v>
      </c>
      <c r="C184" s="2" t="s">
        <v>14</v>
      </c>
      <c r="D184" s="2"/>
      <c r="E184" s="2"/>
      <c r="F184" s="7" t="s">
        <v>43</v>
      </c>
      <c r="G184" s="3">
        <v>0.15</v>
      </c>
      <c r="H184" s="17">
        <v>1288209</v>
      </c>
      <c r="I184">
        <f t="shared" si="8"/>
        <v>193231.35</v>
      </c>
      <c r="J184" s="5">
        <v>26832.778970629253</v>
      </c>
      <c r="K184" s="52">
        <f t="shared" si="6"/>
        <v>7.2013170984454522</v>
      </c>
      <c r="M184" s="49">
        <v>452.2763812634293</v>
      </c>
      <c r="N184" s="49">
        <f t="shared" si="7"/>
        <v>87393975.724647149</v>
      </c>
    </row>
    <row r="185" spans="2:14">
      <c r="B185" s="2">
        <v>2024</v>
      </c>
      <c r="C185" s="2" t="s">
        <v>14</v>
      </c>
      <c r="D185" s="2"/>
      <c r="E185" s="2"/>
      <c r="F185" s="22" t="s">
        <v>44</v>
      </c>
      <c r="G185" s="2">
        <v>1</v>
      </c>
      <c r="H185" s="17">
        <v>1288209</v>
      </c>
      <c r="I185">
        <f t="shared" si="8"/>
        <v>1288209</v>
      </c>
      <c r="J185" s="5">
        <f>SUM(J183:J184)</f>
        <v>60623.515254346072</v>
      </c>
      <c r="K185" s="52">
        <f t="shared" si="6"/>
        <v>21.249328657292747</v>
      </c>
      <c r="M185" s="49">
        <v>452.2763812634293</v>
      </c>
      <c r="N185" s="49">
        <f t="shared" si="7"/>
        <v>582626504.83098102</v>
      </c>
    </row>
    <row r="186" spans="2:14">
      <c r="B186" s="2">
        <v>2024</v>
      </c>
      <c r="C186" s="2" t="s">
        <v>21</v>
      </c>
      <c r="D186" s="2"/>
      <c r="E186" s="2"/>
      <c r="F186" s="7" t="s">
        <v>42</v>
      </c>
      <c r="G186" s="3">
        <v>0.85</v>
      </c>
      <c r="H186" s="17">
        <v>1251374</v>
      </c>
      <c r="I186">
        <f t="shared" si="8"/>
        <v>1063667.8999999999</v>
      </c>
      <c r="J186" s="5">
        <v>34144.279922123911</v>
      </c>
      <c r="K186" s="52">
        <f t="shared" si="6"/>
        <v>31.152154985432638</v>
      </c>
      <c r="M186" s="49">
        <v>460.84443894967723</v>
      </c>
      <c r="N186" s="49">
        <f t="shared" si="7"/>
        <v>490185436.60428137</v>
      </c>
    </row>
    <row r="187" spans="2:14">
      <c r="B187" s="2">
        <v>2024</v>
      </c>
      <c r="C187" s="2" t="s">
        <v>21</v>
      </c>
      <c r="D187" s="2"/>
      <c r="E187" s="2"/>
      <c r="F187" s="7" t="s">
        <v>43</v>
      </c>
      <c r="G187" s="3">
        <v>0.15</v>
      </c>
      <c r="H187" s="17">
        <v>1251374</v>
      </c>
      <c r="I187">
        <f t="shared" si="8"/>
        <v>187706.1</v>
      </c>
      <c r="J187" s="5">
        <v>28998.530332867016</v>
      </c>
      <c r="K187" s="52">
        <f t="shared" si="6"/>
        <v>6.4729521753470856</v>
      </c>
      <c r="M187" s="49">
        <v>460.84443894967723</v>
      </c>
      <c r="N187" s="49">
        <f t="shared" si="7"/>
        <v>86503312.341932014</v>
      </c>
    </row>
    <row r="188" spans="2:14">
      <c r="B188" s="2">
        <v>2024</v>
      </c>
      <c r="C188" s="2" t="s">
        <v>21</v>
      </c>
      <c r="D188" s="2"/>
      <c r="E188" s="2"/>
      <c r="F188" s="22" t="s">
        <v>44</v>
      </c>
      <c r="G188" s="2">
        <v>1</v>
      </c>
      <c r="H188" s="17">
        <v>1251374</v>
      </c>
      <c r="I188">
        <f t="shared" si="8"/>
        <v>1251374</v>
      </c>
      <c r="J188" s="5">
        <f>SUM(J186:J187)</f>
        <v>63142.810254990924</v>
      </c>
      <c r="K188" s="52">
        <f t="shared" si="6"/>
        <v>19.818154987821263</v>
      </c>
      <c r="M188" s="49">
        <v>460.84443894967723</v>
      </c>
      <c r="N188" s="49">
        <f t="shared" si="7"/>
        <v>576688748.94621336</v>
      </c>
    </row>
    <row r="189" spans="2:14">
      <c r="B189" s="2">
        <v>2024</v>
      </c>
      <c r="C189" s="2" t="s">
        <v>22</v>
      </c>
      <c r="D189" s="2"/>
      <c r="E189" s="2"/>
      <c r="F189" s="7" t="s">
        <v>42</v>
      </c>
      <c r="G189" s="3">
        <v>0.85</v>
      </c>
      <c r="H189" s="17">
        <v>1159119</v>
      </c>
      <c r="I189">
        <f>G189*H189</f>
        <v>985251.15</v>
      </c>
      <c r="J189" s="5">
        <v>35705.124124778828</v>
      </c>
      <c r="K189" s="52">
        <f t="shared" si="6"/>
        <v>27.594110765637986</v>
      </c>
      <c r="M189" s="49">
        <v>460.71503592656978</v>
      </c>
      <c r="N189" s="49">
        <f t="shared" si="7"/>
        <v>453920018.96894419</v>
      </c>
    </row>
    <row r="190" spans="2:14">
      <c r="B190" s="2">
        <v>2024</v>
      </c>
      <c r="C190" s="2" t="s">
        <v>22</v>
      </c>
      <c r="D190" s="2"/>
      <c r="E190" s="2"/>
      <c r="F190" s="7" t="s">
        <v>43</v>
      </c>
      <c r="G190" s="3">
        <v>0.15</v>
      </c>
      <c r="H190" s="17">
        <v>1159119</v>
      </c>
      <c r="I190">
        <f t="shared" si="8"/>
        <v>173867.85</v>
      </c>
      <c r="J190" s="5">
        <v>28011.193122610617</v>
      </c>
      <c r="K190" s="52">
        <f t="shared" si="6"/>
        <v>6.2070847621143992</v>
      </c>
      <c r="M190" s="49">
        <v>460.71503592656978</v>
      </c>
      <c r="N190" s="49">
        <f t="shared" si="7"/>
        <v>80103532.759225443</v>
      </c>
    </row>
    <row r="191" spans="2:14">
      <c r="B191" s="2">
        <v>2024</v>
      </c>
      <c r="C191" s="2" t="s">
        <v>22</v>
      </c>
      <c r="D191" s="2"/>
      <c r="E191" s="2"/>
      <c r="F191" s="22" t="s">
        <v>44</v>
      </c>
      <c r="G191" s="2">
        <v>1</v>
      </c>
      <c r="H191" s="17">
        <v>1159119</v>
      </c>
      <c r="I191">
        <f>G191*H191</f>
        <v>1159119</v>
      </c>
      <c r="J191" s="5">
        <f>SUM(J189:J190)</f>
        <v>63716.317247389445</v>
      </c>
      <c r="K191" s="52">
        <f t="shared" si="6"/>
        <v>18.191870623964711</v>
      </c>
      <c r="M191" s="49">
        <v>460.71503592656978</v>
      </c>
      <c r="N191" s="49">
        <f t="shared" si="7"/>
        <v>534023551.72816962</v>
      </c>
    </row>
    <row r="192" spans="2:14">
      <c r="B192" s="2">
        <v>2025</v>
      </c>
      <c r="C192" s="2" t="s">
        <v>23</v>
      </c>
      <c r="D192" s="2"/>
      <c r="E192" s="2"/>
      <c r="F192" s="7" t="s">
        <v>42</v>
      </c>
      <c r="G192" s="3">
        <v>0.85</v>
      </c>
      <c r="H192" s="17">
        <v>1138923</v>
      </c>
      <c r="I192">
        <f t="shared" si="8"/>
        <v>968084.54999999993</v>
      </c>
      <c r="J192" s="5">
        <v>33572.312066371662</v>
      </c>
      <c r="K192" s="52">
        <f t="shared" si="6"/>
        <v>28.835802195753448</v>
      </c>
      <c r="M192" s="49">
        <v>513.14069417539702</v>
      </c>
      <c r="N192" s="49">
        <f t="shared" si="7"/>
        <v>496763578.00747681</v>
      </c>
    </row>
    <row r="193" spans="2:14">
      <c r="B193" s="2">
        <v>2025</v>
      </c>
      <c r="C193" s="2" t="s">
        <v>23</v>
      </c>
      <c r="D193" s="2"/>
      <c r="E193" s="2"/>
      <c r="F193" s="7" t="s">
        <v>43</v>
      </c>
      <c r="G193" s="3">
        <v>0.15</v>
      </c>
      <c r="H193" s="17">
        <v>1138923</v>
      </c>
      <c r="I193">
        <f t="shared" si="8"/>
        <v>170838.44999999998</v>
      </c>
      <c r="J193" s="5">
        <v>27131.726291841373</v>
      </c>
      <c r="K193" s="52">
        <f t="shared" si="6"/>
        <v>6.2966303051410275</v>
      </c>
      <c r="M193" s="49">
        <v>513.14069417539702</v>
      </c>
      <c r="N193" s="49">
        <f t="shared" si="7"/>
        <v>87664160.824848846</v>
      </c>
    </row>
    <row r="194" spans="2:14">
      <c r="B194" s="2">
        <v>2025</v>
      </c>
      <c r="C194" s="2" t="s">
        <v>23</v>
      </c>
      <c r="D194" s="2"/>
      <c r="E194" s="2"/>
      <c r="F194" s="22" t="s">
        <v>44</v>
      </c>
      <c r="G194" s="2">
        <v>1</v>
      </c>
      <c r="H194" s="17">
        <v>1138923</v>
      </c>
      <c r="I194">
        <f t="shared" si="8"/>
        <v>1138923</v>
      </c>
      <c r="J194" s="5">
        <f>SUM(J192:J193)</f>
        <v>60704.038358213031</v>
      </c>
      <c r="K194" s="52">
        <f t="shared" si="6"/>
        <v>18.761898397586723</v>
      </c>
      <c r="M194" s="49">
        <v>513.14069417539702</v>
      </c>
      <c r="N194" s="49">
        <f t="shared" si="7"/>
        <v>584427738.8323257</v>
      </c>
    </row>
    <row r="195" spans="2:14">
      <c r="B195" s="2">
        <v>2025</v>
      </c>
      <c r="C195" s="2" t="s">
        <v>24</v>
      </c>
      <c r="D195" s="2"/>
      <c r="E195" s="2"/>
      <c r="F195" s="7" t="s">
        <v>42</v>
      </c>
      <c r="G195" s="3">
        <v>0.85</v>
      </c>
      <c r="H195" s="17">
        <v>1115445</v>
      </c>
      <c r="I195">
        <f t="shared" si="8"/>
        <v>948128.25</v>
      </c>
      <c r="J195" s="5">
        <v>35768.961074336294</v>
      </c>
      <c r="K195" s="52">
        <f t="shared" ref="K195:K248" si="9">IFERROR(I195/J195,0)</f>
        <v>26.507011149403166</v>
      </c>
      <c r="M195" s="49">
        <v>536.455048245488</v>
      </c>
      <c r="N195" s="49">
        <f t="shared" ref="N195:N247" si="10">M195*I195</f>
        <v>508628186.09666014</v>
      </c>
    </row>
    <row r="196" spans="2:14">
      <c r="B196" s="2">
        <v>2025</v>
      </c>
      <c r="C196" s="2" t="s">
        <v>24</v>
      </c>
      <c r="D196" s="2"/>
      <c r="E196" s="2"/>
      <c r="F196" s="7" t="s">
        <v>43</v>
      </c>
      <c r="G196" s="3">
        <v>0.15</v>
      </c>
      <c r="H196" s="17">
        <v>1115445</v>
      </c>
      <c r="I196">
        <f t="shared" ref="I196:I254" si="11">G196*H196</f>
        <v>167316.75</v>
      </c>
      <c r="J196" s="5">
        <v>25717.787056410132</v>
      </c>
      <c r="K196" s="52">
        <f t="shared" si="9"/>
        <v>6.5058766383360531</v>
      </c>
      <c r="M196" s="49">
        <v>536.455048245488</v>
      </c>
      <c r="N196" s="49">
        <f t="shared" si="10"/>
        <v>89757915.19352825</v>
      </c>
    </row>
    <row r="197" spans="2:14">
      <c r="B197" s="2">
        <v>2025</v>
      </c>
      <c r="C197" s="2" t="s">
        <v>24</v>
      </c>
      <c r="D197" s="2"/>
      <c r="E197" s="2"/>
      <c r="F197" s="22" t="s">
        <v>44</v>
      </c>
      <c r="G197" s="2">
        <v>1</v>
      </c>
      <c r="H197" s="17">
        <v>1115445</v>
      </c>
      <c r="I197">
        <f t="shared" si="11"/>
        <v>1115445</v>
      </c>
      <c r="J197" s="5">
        <f>SUM(J195:J196)</f>
        <v>61486.748130746426</v>
      </c>
      <c r="K197" s="52">
        <f t="shared" si="9"/>
        <v>18.141226100103708</v>
      </c>
      <c r="M197" s="49">
        <v>536.455048245488</v>
      </c>
      <c r="N197" s="49">
        <f t="shared" si="10"/>
        <v>598386101.29018831</v>
      </c>
    </row>
    <row r="198" spans="2:14">
      <c r="B198" s="2">
        <v>2025</v>
      </c>
      <c r="C198" s="2" t="s">
        <v>25</v>
      </c>
      <c r="D198" s="2"/>
      <c r="E198" s="2"/>
      <c r="F198" s="7" t="s">
        <v>42</v>
      </c>
      <c r="G198" s="3">
        <v>0.85</v>
      </c>
      <c r="H198" s="17">
        <v>1182433</v>
      </c>
      <c r="I198">
        <f t="shared" si="11"/>
        <v>1005068.0499999999</v>
      </c>
      <c r="J198" s="5">
        <v>36714.882141061964</v>
      </c>
      <c r="K198" s="52">
        <f t="shared" si="9"/>
        <v>27.374949649530013</v>
      </c>
      <c r="M198" s="49">
        <v>554.65298208047943</v>
      </c>
      <c r="N198" s="49">
        <f t="shared" si="10"/>
        <v>557463991.12631238</v>
      </c>
    </row>
    <row r="199" spans="2:14">
      <c r="B199" s="2">
        <v>2025</v>
      </c>
      <c r="C199" s="2" t="s">
        <v>25</v>
      </c>
      <c r="D199" s="2"/>
      <c r="E199" s="2"/>
      <c r="F199" s="7" t="s">
        <v>43</v>
      </c>
      <c r="G199" s="3">
        <v>0.15</v>
      </c>
      <c r="H199" s="17">
        <v>1182433</v>
      </c>
      <c r="I199">
        <f t="shared" si="11"/>
        <v>177364.94999999998</v>
      </c>
      <c r="J199" s="5">
        <v>24507.31209137517</v>
      </c>
      <c r="K199" s="52">
        <f t="shared" si="9"/>
        <v>7.2372257446551975</v>
      </c>
      <c r="M199" s="49">
        <v>554.65298208047943</v>
      </c>
      <c r="N199" s="49">
        <f t="shared" si="10"/>
        <v>98375998.43405512</v>
      </c>
    </row>
    <row r="200" spans="2:14">
      <c r="B200" s="2">
        <v>2025</v>
      </c>
      <c r="C200" s="2" t="s">
        <v>25</v>
      </c>
      <c r="D200" s="2"/>
      <c r="E200" s="2"/>
      <c r="F200" s="22" t="s">
        <v>44</v>
      </c>
      <c r="G200" s="2">
        <v>1</v>
      </c>
      <c r="H200" s="17">
        <v>1182433</v>
      </c>
      <c r="I200">
        <f t="shared" si="11"/>
        <v>1182433</v>
      </c>
      <c r="J200" s="5">
        <f>SUM(J198:J199)</f>
        <v>61222.194232437134</v>
      </c>
      <c r="K200" s="52">
        <f t="shared" si="9"/>
        <v>19.313796488749759</v>
      </c>
      <c r="M200" s="49">
        <v>554.65298208047943</v>
      </c>
      <c r="N200" s="49">
        <f t="shared" si="10"/>
        <v>655839989.56036758</v>
      </c>
    </row>
    <row r="201" spans="2:14">
      <c r="B201" s="2">
        <v>2025</v>
      </c>
      <c r="C201" s="2" t="s">
        <v>26</v>
      </c>
      <c r="D201" s="2"/>
      <c r="E201" s="2"/>
      <c r="F201" s="7" t="s">
        <v>42</v>
      </c>
      <c r="G201" s="3">
        <v>0.85</v>
      </c>
      <c r="H201" s="17">
        <v>1122884</v>
      </c>
      <c r="I201">
        <f t="shared" si="11"/>
        <v>954451.4</v>
      </c>
      <c r="J201" s="5">
        <v>34864.682398938021</v>
      </c>
      <c r="K201" s="52">
        <f t="shared" si="9"/>
        <v>27.375881101646652</v>
      </c>
      <c r="N201" s="49">
        <f t="shared" si="10"/>
        <v>0</v>
      </c>
    </row>
    <row r="202" spans="2:14">
      <c r="B202" s="2">
        <v>2025</v>
      </c>
      <c r="C202" s="2" t="s">
        <v>26</v>
      </c>
      <c r="D202" s="2"/>
      <c r="E202" s="2"/>
      <c r="F202" s="7" t="s">
        <v>43</v>
      </c>
      <c r="G202" s="3">
        <v>0.15</v>
      </c>
      <c r="H202" s="17">
        <v>1122884</v>
      </c>
      <c r="I202">
        <f t="shared" si="11"/>
        <v>168432.6</v>
      </c>
      <c r="J202" s="5">
        <v>26122.401230769101</v>
      </c>
      <c r="K202" s="52">
        <f t="shared" si="9"/>
        <v>6.4478222546251338</v>
      </c>
      <c r="N202" s="49">
        <f t="shared" si="10"/>
        <v>0</v>
      </c>
    </row>
    <row r="203" spans="2:14">
      <c r="B203" s="2">
        <v>2025</v>
      </c>
      <c r="C203" s="2" t="s">
        <v>26</v>
      </c>
      <c r="D203" s="2"/>
      <c r="E203" s="2"/>
      <c r="F203" s="22" t="s">
        <v>44</v>
      </c>
      <c r="G203" s="2">
        <v>1</v>
      </c>
      <c r="H203" s="17">
        <v>1122884</v>
      </c>
      <c r="I203">
        <f t="shared" si="11"/>
        <v>1122884</v>
      </c>
      <c r="J203" s="5">
        <f>SUM(J201:J202)</f>
        <v>60987.083629707122</v>
      </c>
      <c r="K203" s="52">
        <f t="shared" si="9"/>
        <v>18.411833017262648</v>
      </c>
      <c r="M203" s="49"/>
      <c r="N203" s="49">
        <f t="shared" si="10"/>
        <v>0</v>
      </c>
    </row>
    <row r="204" spans="2:14">
      <c r="B204" s="2">
        <v>2025</v>
      </c>
      <c r="C204" s="2" t="s">
        <v>27</v>
      </c>
      <c r="D204" s="2"/>
      <c r="E204" s="2"/>
      <c r="F204" s="7" t="s">
        <v>42</v>
      </c>
      <c r="G204" s="3">
        <v>0.85</v>
      </c>
      <c r="H204" s="17">
        <v>1231103</v>
      </c>
      <c r="I204">
        <f t="shared" si="11"/>
        <v>1046437.5499999999</v>
      </c>
      <c r="J204" s="5">
        <v>37291.723874761032</v>
      </c>
      <c r="K204" s="52">
        <f t="shared" si="9"/>
        <v>28.060852148168642</v>
      </c>
      <c r="N204" s="49">
        <f t="shared" si="10"/>
        <v>0</v>
      </c>
    </row>
    <row r="205" spans="2:14">
      <c r="B205" s="2">
        <v>2025</v>
      </c>
      <c r="C205" s="2" t="s">
        <v>27</v>
      </c>
      <c r="D205" s="2"/>
      <c r="E205" s="2"/>
      <c r="F205" s="7" t="s">
        <v>43</v>
      </c>
      <c r="G205" s="3">
        <v>0.15</v>
      </c>
      <c r="H205" s="17">
        <v>1231103</v>
      </c>
      <c r="I205">
        <f t="shared" si="11"/>
        <v>184665.44999999998</v>
      </c>
      <c r="J205" s="5">
        <v>27131.951343589604</v>
      </c>
      <c r="K205" s="52">
        <f t="shared" si="9"/>
        <v>6.8061986276424014</v>
      </c>
      <c r="N205" s="49">
        <f t="shared" si="10"/>
        <v>0</v>
      </c>
    </row>
    <row r="206" spans="2:14">
      <c r="B206" s="2">
        <v>2025</v>
      </c>
      <c r="C206" s="2" t="s">
        <v>27</v>
      </c>
      <c r="D206" s="2"/>
      <c r="E206" s="2"/>
      <c r="F206" s="22" t="s">
        <v>44</v>
      </c>
      <c r="G206" s="2">
        <v>1</v>
      </c>
      <c r="H206" s="17">
        <v>1231103</v>
      </c>
      <c r="I206">
        <f t="shared" si="11"/>
        <v>1231103</v>
      </c>
      <c r="J206" s="5">
        <f>SUM(J204:J205)</f>
        <v>64423.675218350632</v>
      </c>
      <c r="K206" s="52">
        <f t="shared" si="9"/>
        <v>19.109481038258572</v>
      </c>
      <c r="M206" s="49"/>
      <c r="N206" s="49">
        <f t="shared" si="10"/>
        <v>0</v>
      </c>
    </row>
    <row r="207" spans="2:14">
      <c r="B207" s="2">
        <v>2025</v>
      </c>
      <c r="C207" s="2" t="s">
        <v>28</v>
      </c>
      <c r="D207" s="2"/>
      <c r="E207" s="2"/>
      <c r="F207" s="7" t="s">
        <v>42</v>
      </c>
      <c r="G207" s="3">
        <v>0.85</v>
      </c>
      <c r="H207" s="17">
        <v>1110140</v>
      </c>
      <c r="I207">
        <f t="shared" si="11"/>
        <v>943619</v>
      </c>
      <c r="J207" s="5">
        <v>31893.538921946816</v>
      </c>
      <c r="K207" s="52">
        <f t="shared" si="9"/>
        <v>29.586525418496908</v>
      </c>
      <c r="N207" s="49">
        <f t="shared" si="10"/>
        <v>0</v>
      </c>
    </row>
    <row r="208" spans="2:14">
      <c r="B208" s="2">
        <v>2025</v>
      </c>
      <c r="C208" s="2" t="s">
        <v>28</v>
      </c>
      <c r="D208" s="2"/>
      <c r="E208" s="2"/>
      <c r="F208" s="7" t="s">
        <v>43</v>
      </c>
      <c r="G208" s="3">
        <v>0.15</v>
      </c>
      <c r="H208" s="17">
        <v>1110140</v>
      </c>
      <c r="I208">
        <f t="shared" si="11"/>
        <v>166521</v>
      </c>
      <c r="J208" s="5">
        <v>26692.847356643229</v>
      </c>
      <c r="K208" s="52">
        <f t="shared" si="9"/>
        <v>6.2384127768428872</v>
      </c>
      <c r="N208" s="49">
        <f t="shared" si="10"/>
        <v>0</v>
      </c>
    </row>
    <row r="209" spans="2:14">
      <c r="B209" s="2">
        <v>2025</v>
      </c>
      <c r="C209" s="2" t="s">
        <v>28</v>
      </c>
      <c r="D209" s="2"/>
      <c r="E209" s="2"/>
      <c r="F209" s="22" t="s">
        <v>44</v>
      </c>
      <c r="G209" s="2">
        <v>1</v>
      </c>
      <c r="H209" s="17">
        <v>1110140</v>
      </c>
      <c r="I209">
        <f t="shared" si="11"/>
        <v>1110140</v>
      </c>
      <c r="J209" s="5">
        <f>SUM(J207:J208)</f>
        <v>58586.386278590042</v>
      </c>
      <c r="K209" s="52">
        <f t="shared" si="9"/>
        <v>18.948770704529569</v>
      </c>
      <c r="M209" s="49"/>
      <c r="N209" s="49">
        <f t="shared" si="10"/>
        <v>0</v>
      </c>
    </row>
    <row r="210" spans="2:14">
      <c r="B210" s="2">
        <v>2025</v>
      </c>
      <c r="C210" s="2" t="s">
        <v>29</v>
      </c>
      <c r="D210" s="2"/>
      <c r="E210" s="2"/>
      <c r="F210" s="7" t="s">
        <v>42</v>
      </c>
      <c r="G210" s="3">
        <v>0.85</v>
      </c>
      <c r="H210" s="17">
        <v>981869</v>
      </c>
      <c r="I210">
        <f t="shared" si="11"/>
        <v>834588.65</v>
      </c>
      <c r="J210" s="5">
        <v>28247.67094934512</v>
      </c>
      <c r="K210" s="52">
        <f t="shared" si="9"/>
        <v>29.545396910655697</v>
      </c>
      <c r="N210" s="49">
        <f t="shared" si="10"/>
        <v>0</v>
      </c>
    </row>
    <row r="211" spans="2:14">
      <c r="B211" s="2">
        <v>2025</v>
      </c>
      <c r="C211" s="2" t="s">
        <v>29</v>
      </c>
      <c r="D211" s="2"/>
      <c r="E211" s="2"/>
      <c r="F211" s="7" t="s">
        <v>43</v>
      </c>
      <c r="G211" s="3">
        <v>0.15</v>
      </c>
      <c r="H211" s="17">
        <v>981869</v>
      </c>
      <c r="I211">
        <f t="shared" si="11"/>
        <v>147280.35</v>
      </c>
      <c r="J211" s="5">
        <v>22438.832309184003</v>
      </c>
      <c r="K211" s="52">
        <f t="shared" si="9"/>
        <v>6.5636370008309006</v>
      </c>
      <c r="N211" s="49">
        <f t="shared" si="10"/>
        <v>0</v>
      </c>
    </row>
    <row r="212" spans="2:14">
      <c r="B212" s="2">
        <v>2025</v>
      </c>
      <c r="C212" s="2" t="s">
        <v>29</v>
      </c>
      <c r="D212" s="2"/>
      <c r="E212" s="2"/>
      <c r="F212" s="22" t="s">
        <v>44</v>
      </c>
      <c r="G212" s="2">
        <v>1</v>
      </c>
      <c r="H212" s="17">
        <v>981869</v>
      </c>
      <c r="I212">
        <f t="shared" si="11"/>
        <v>981869</v>
      </c>
      <c r="J212" s="5">
        <f>SUM(J210:J211)</f>
        <v>50686.503258529119</v>
      </c>
      <c r="K212" s="52">
        <f t="shared" si="9"/>
        <v>19.371409288029334</v>
      </c>
      <c r="M212" s="49"/>
      <c r="N212" s="49">
        <f t="shared" si="10"/>
        <v>0</v>
      </c>
    </row>
    <row r="213" spans="2:14">
      <c r="B213" s="2">
        <v>2025</v>
      </c>
      <c r="C213" s="2" t="s">
        <v>30</v>
      </c>
      <c r="D213" s="2"/>
      <c r="E213" s="2"/>
      <c r="F213" s="7" t="s">
        <v>42</v>
      </c>
      <c r="G213" s="3">
        <v>0.85</v>
      </c>
      <c r="H213" s="17">
        <v>1005942</v>
      </c>
      <c r="I213">
        <f t="shared" si="11"/>
        <v>855050.7</v>
      </c>
      <c r="J213" s="5">
        <v>29769.269181415923</v>
      </c>
      <c r="K213" s="52">
        <f t="shared" si="9"/>
        <v>28.722596271653956</v>
      </c>
      <c r="N213" s="49">
        <f t="shared" si="10"/>
        <v>0</v>
      </c>
    </row>
    <row r="214" spans="2:14">
      <c r="B214" s="2">
        <v>2025</v>
      </c>
      <c r="C214" s="2" t="s">
        <v>30</v>
      </c>
      <c r="D214" s="2"/>
      <c r="E214" s="2"/>
      <c r="F214" s="7" t="s">
        <v>43</v>
      </c>
      <c r="G214" s="3">
        <v>0.15</v>
      </c>
      <c r="H214" s="17">
        <v>1005942</v>
      </c>
      <c r="I214">
        <f t="shared" si="11"/>
        <v>150891.29999999999</v>
      </c>
      <c r="J214" s="5">
        <v>24073.104581445088</v>
      </c>
      <c r="K214" s="52">
        <f t="shared" si="9"/>
        <v>6.2680448834299094</v>
      </c>
      <c r="N214" s="49">
        <f t="shared" si="10"/>
        <v>0</v>
      </c>
    </row>
    <row r="215" spans="2:14">
      <c r="B215" s="2">
        <v>2025</v>
      </c>
      <c r="C215" s="2" t="s">
        <v>30</v>
      </c>
      <c r="D215" s="2"/>
      <c r="E215" s="2"/>
      <c r="F215" s="22" t="s">
        <v>44</v>
      </c>
      <c r="G215" s="2">
        <v>1</v>
      </c>
      <c r="H215" s="17">
        <v>1005942</v>
      </c>
      <c r="I215">
        <f t="shared" si="11"/>
        <v>1005942</v>
      </c>
      <c r="J215" s="5">
        <f>SUM(J213:J214)</f>
        <v>53842.373762861011</v>
      </c>
      <c r="K215" s="52">
        <f t="shared" si="9"/>
        <v>18.683091581929308</v>
      </c>
      <c r="M215" s="49"/>
      <c r="N215" s="49">
        <f t="shared" si="10"/>
        <v>0</v>
      </c>
    </row>
    <row r="216" spans="2:14">
      <c r="B216" s="2">
        <v>2025</v>
      </c>
      <c r="C216" s="2" t="s">
        <v>31</v>
      </c>
      <c r="D216" s="2"/>
      <c r="E216" s="2"/>
      <c r="F216" s="7" t="s">
        <v>42</v>
      </c>
      <c r="G216" s="3">
        <v>0.85</v>
      </c>
      <c r="H216" s="17">
        <v>1057896</v>
      </c>
      <c r="I216">
        <f t="shared" si="11"/>
        <v>899211.6</v>
      </c>
      <c r="J216" s="5">
        <v>32936.911526017706</v>
      </c>
      <c r="K216" s="52">
        <f t="shared" si="9"/>
        <v>27.301029706130457</v>
      </c>
      <c r="N216" s="49">
        <f t="shared" si="10"/>
        <v>0</v>
      </c>
    </row>
    <row r="217" spans="2:14">
      <c r="B217" s="2">
        <v>2025</v>
      </c>
      <c r="C217" s="2" t="s">
        <v>31</v>
      </c>
      <c r="D217" s="2"/>
      <c r="E217" s="2"/>
      <c r="F217" s="7" t="s">
        <v>43</v>
      </c>
      <c r="G217" s="3">
        <v>0.15</v>
      </c>
      <c r="H217" s="17">
        <v>1057896</v>
      </c>
      <c r="I217">
        <f t="shared" si="11"/>
        <v>158684.4</v>
      </c>
      <c r="J217" s="5">
        <v>26642.096206619932</v>
      </c>
      <c r="K217" s="52">
        <f t="shared" si="9"/>
        <v>5.9561529531813138</v>
      </c>
      <c r="N217" s="49">
        <f t="shared" si="10"/>
        <v>0</v>
      </c>
    </row>
    <row r="218" spans="2:14">
      <c r="B218" s="2">
        <v>2025</v>
      </c>
      <c r="C218" s="2" t="s">
        <v>31</v>
      </c>
      <c r="D218" s="2"/>
      <c r="E218" s="2"/>
      <c r="F218" s="22" t="s">
        <v>44</v>
      </c>
      <c r="G218" s="2">
        <v>1</v>
      </c>
      <c r="H218" s="17">
        <v>1057896</v>
      </c>
      <c r="I218">
        <f t="shared" si="11"/>
        <v>1057896</v>
      </c>
      <c r="J218" s="5">
        <f>SUM(J216:J217)</f>
        <v>59579.007732637634</v>
      </c>
      <c r="K218" s="52">
        <f t="shared" si="9"/>
        <v>17.756186956777395</v>
      </c>
      <c r="M218" s="49"/>
      <c r="N218" s="49">
        <f t="shared" si="10"/>
        <v>0</v>
      </c>
    </row>
    <row r="219" spans="2:14">
      <c r="B219" s="2">
        <v>2025</v>
      </c>
      <c r="C219" s="2" t="s">
        <v>14</v>
      </c>
      <c r="D219" s="2"/>
      <c r="E219" s="2"/>
      <c r="F219" s="7" t="s">
        <v>42</v>
      </c>
      <c r="G219" s="3">
        <v>0.85</v>
      </c>
      <c r="H219" s="17">
        <v>1002361</v>
      </c>
      <c r="I219">
        <f t="shared" si="11"/>
        <v>852006.85</v>
      </c>
      <c r="J219" s="5">
        <v>32643.386536637165</v>
      </c>
      <c r="K219" s="52">
        <f t="shared" si="9"/>
        <v>26.100443011442877</v>
      </c>
      <c r="L219" s="57">
        <v>25.574570977383264</v>
      </c>
      <c r="M219" s="49">
        <v>543.68362236110738</v>
      </c>
      <c r="N219" s="49">
        <f>M219*I219</f>
        <v>463222170.48447663</v>
      </c>
    </row>
    <row r="220" spans="2:14">
      <c r="B220" s="2">
        <v>2025</v>
      </c>
      <c r="C220" s="2" t="s">
        <v>14</v>
      </c>
      <c r="D220" s="2"/>
      <c r="E220" s="2"/>
      <c r="F220" s="7" t="s">
        <v>43</v>
      </c>
      <c r="G220" s="3">
        <v>0.15</v>
      </c>
      <c r="H220" s="17">
        <v>1002361</v>
      </c>
      <c r="I220">
        <f t="shared" si="11"/>
        <v>150354.15</v>
      </c>
      <c r="J220" s="5">
        <v>22594.51088671316</v>
      </c>
      <c r="K220" s="52">
        <f t="shared" si="9"/>
        <v>6.6544547369873213</v>
      </c>
      <c r="L220" s="57">
        <v>11.089568149027413</v>
      </c>
      <c r="M220" s="49">
        <v>543.68362236110738</v>
      </c>
      <c r="N220" s="49">
        <f t="shared" si="10"/>
        <v>81745088.909025297</v>
      </c>
    </row>
    <row r="221" spans="2:14">
      <c r="B221" s="2">
        <v>2025</v>
      </c>
      <c r="C221" s="2" t="s">
        <v>14</v>
      </c>
      <c r="D221" s="2"/>
      <c r="E221" s="2"/>
      <c r="F221" s="22" t="s">
        <v>44</v>
      </c>
      <c r="G221" s="2">
        <v>1</v>
      </c>
      <c r="H221" s="17">
        <v>1002361</v>
      </c>
      <c r="I221">
        <f t="shared" si="11"/>
        <v>1002361</v>
      </c>
      <c r="J221" s="5">
        <f>SUM(J219:J220)</f>
        <v>55237.897423350325</v>
      </c>
      <c r="K221" s="52">
        <f t="shared" si="9"/>
        <v>18.146255501323246</v>
      </c>
      <c r="L221" s="57">
        <v>18.332069563205337</v>
      </c>
      <c r="M221" s="49">
        <v>543.68362236110738</v>
      </c>
      <c r="N221" s="49">
        <f t="shared" si="10"/>
        <v>544967259.393502</v>
      </c>
    </row>
    <row r="222" spans="2:14">
      <c r="B222" s="2">
        <v>2025</v>
      </c>
      <c r="C222" s="2" t="s">
        <v>21</v>
      </c>
      <c r="D222" s="2"/>
      <c r="E222" s="2"/>
      <c r="F222" s="7" t="s">
        <v>42</v>
      </c>
      <c r="G222" s="3">
        <v>0.85</v>
      </c>
      <c r="H222" s="17">
        <v>967383</v>
      </c>
      <c r="I222">
        <f t="shared" si="11"/>
        <v>822275.54999999993</v>
      </c>
      <c r="J222" s="5">
        <v>32859.912508495596</v>
      </c>
      <c r="K222" s="52">
        <f t="shared" si="9"/>
        <v>25.02366827018815</v>
      </c>
      <c r="L222" s="57">
        <v>25.574570977383264</v>
      </c>
      <c r="M222" s="49">
        <v>535.09081792340203</v>
      </c>
      <c r="N222" s="49">
        <f t="shared" si="10"/>
        <v>439992096.60791522</v>
      </c>
    </row>
    <row r="223" spans="2:14">
      <c r="B223" s="2">
        <v>2025</v>
      </c>
      <c r="C223" s="2" t="s">
        <v>21</v>
      </c>
      <c r="D223" s="2"/>
      <c r="E223" s="2"/>
      <c r="F223" s="7" t="s">
        <v>43</v>
      </c>
      <c r="G223" s="3">
        <v>0.15</v>
      </c>
      <c r="H223" s="17">
        <v>967383</v>
      </c>
      <c r="I223">
        <f t="shared" si="11"/>
        <v>145107.44999999998</v>
      </c>
      <c r="J223" s="5">
        <v>22477.996455011642</v>
      </c>
      <c r="K223" s="52">
        <f t="shared" si="9"/>
        <v>6.4555330939046911</v>
      </c>
      <c r="L223" s="57">
        <v>11.089568149027413</v>
      </c>
      <c r="M223" s="49">
        <v>535.09081792340214</v>
      </c>
      <c r="N223" s="49">
        <f t="shared" si="10"/>
        <v>77645664.107279167</v>
      </c>
    </row>
    <row r="224" spans="2:14">
      <c r="B224" s="2">
        <v>2025</v>
      </c>
      <c r="C224" s="2" t="s">
        <v>21</v>
      </c>
      <c r="D224" s="2"/>
      <c r="E224" s="2"/>
      <c r="F224" s="22" t="s">
        <v>44</v>
      </c>
      <c r="G224" s="2">
        <v>1</v>
      </c>
      <c r="H224" s="17">
        <v>967383</v>
      </c>
      <c r="I224">
        <f t="shared" si="11"/>
        <v>967383</v>
      </c>
      <c r="J224" s="5">
        <f>SUM(J222:J223)</f>
        <v>55337.908963507238</v>
      </c>
      <c r="K224" s="52">
        <f t="shared" si="9"/>
        <v>17.481379729001755</v>
      </c>
      <c r="L224" s="57">
        <v>18.332069563205337</v>
      </c>
      <c r="M224" s="49">
        <v>535.09081792340214</v>
      </c>
      <c r="N224" s="49">
        <f t="shared" si="10"/>
        <v>517637760.71519452</v>
      </c>
    </row>
    <row r="225" spans="2:14">
      <c r="B225" s="2">
        <v>2025</v>
      </c>
      <c r="C225" s="2" t="s">
        <v>22</v>
      </c>
      <c r="D225" s="2"/>
      <c r="E225" s="2"/>
      <c r="F225" s="7" t="s">
        <v>42</v>
      </c>
      <c r="G225" s="3">
        <v>0.85</v>
      </c>
      <c r="H225" s="17">
        <v>733372</v>
      </c>
      <c r="I225">
        <f t="shared" si="11"/>
        <v>623366.19999999995</v>
      </c>
      <c r="J225" s="5">
        <v>22040.86185946902</v>
      </c>
      <c r="K225" s="52">
        <f t="shared" si="9"/>
        <v>28.282296943492447</v>
      </c>
      <c r="L225" s="57">
        <v>25.574570977383264</v>
      </c>
      <c r="M225" s="49">
        <v>532.25135059052343</v>
      </c>
      <c r="N225" s="49">
        <f t="shared" si="10"/>
        <v>331787501.86248231</v>
      </c>
    </row>
    <row r="226" spans="2:14">
      <c r="B226" s="2">
        <v>2025</v>
      </c>
      <c r="C226" s="2" t="s">
        <v>22</v>
      </c>
      <c r="D226" s="2"/>
      <c r="E226" s="2"/>
      <c r="F226" s="7" t="s">
        <v>43</v>
      </c>
      <c r="G226" s="3">
        <v>0.15</v>
      </c>
      <c r="H226" s="17">
        <v>733372</v>
      </c>
      <c r="I226">
        <f t="shared" si="11"/>
        <v>110005.8</v>
      </c>
      <c r="J226" s="5">
        <v>16971.86605314683</v>
      </c>
      <c r="K226" s="52">
        <f t="shared" si="9"/>
        <v>6.4816561511574813</v>
      </c>
      <c r="L226" s="57">
        <v>11.089568149027413</v>
      </c>
      <c r="M226" s="49">
        <v>532.25135059052343</v>
      </c>
      <c r="N226" s="49">
        <f t="shared" si="10"/>
        <v>58550735.622791007</v>
      </c>
    </row>
    <row r="227" spans="2:14">
      <c r="B227" s="2">
        <v>2025</v>
      </c>
      <c r="C227" s="2" t="s">
        <v>22</v>
      </c>
      <c r="D227" s="2"/>
      <c r="E227" s="2"/>
      <c r="F227" s="22" t="s">
        <v>44</v>
      </c>
      <c r="G227" s="2">
        <v>1</v>
      </c>
      <c r="H227" s="17">
        <v>733372</v>
      </c>
      <c r="I227">
        <f t="shared" si="11"/>
        <v>733372</v>
      </c>
      <c r="J227" s="5">
        <f>SUM(J225:J226)</f>
        <v>39012.727912615854</v>
      </c>
      <c r="K227" s="52">
        <f t="shared" si="9"/>
        <v>18.798275312679269</v>
      </c>
      <c r="L227" s="57">
        <v>18.332069563205337</v>
      </c>
      <c r="M227" s="49">
        <v>532.25135059052343</v>
      </c>
      <c r="N227" s="49">
        <f t="shared" si="10"/>
        <v>390338237.48527336</v>
      </c>
    </row>
    <row r="228" spans="2:14">
      <c r="B228" s="2">
        <v>2026</v>
      </c>
      <c r="C228" s="2" t="s">
        <v>23</v>
      </c>
      <c r="D228" s="2"/>
      <c r="E228" s="2"/>
      <c r="F228" s="7" t="s">
        <v>42</v>
      </c>
      <c r="G228" s="3">
        <v>0.85</v>
      </c>
      <c r="H228" s="17">
        <v>986682</v>
      </c>
      <c r="I228">
        <f t="shared" si="11"/>
        <v>838679.7</v>
      </c>
      <c r="J228" s="5">
        <v>30189.44571330972</v>
      </c>
      <c r="K228" s="52">
        <f t="shared" si="9"/>
        <v>27.78055973482973</v>
      </c>
      <c r="L228" s="57">
        <v>25.574570977383264</v>
      </c>
      <c r="M228" s="49">
        <v>523.27968653018252</v>
      </c>
      <c r="N228" s="49">
        <f t="shared" si="10"/>
        <v>438864050.5152275</v>
      </c>
    </row>
    <row r="229" spans="2:14">
      <c r="B229" s="2">
        <v>2026</v>
      </c>
      <c r="C229" s="2" t="s">
        <v>23</v>
      </c>
      <c r="D229" s="2"/>
      <c r="E229" s="2"/>
      <c r="F229" s="7" t="s">
        <v>43</v>
      </c>
      <c r="G229" s="3">
        <v>0.15</v>
      </c>
      <c r="H229" s="17">
        <v>986682</v>
      </c>
      <c r="I229">
        <f t="shared" si="11"/>
        <v>148002.29999999999</v>
      </c>
      <c r="J229" s="5">
        <v>22668.992057808817</v>
      </c>
      <c r="K229" s="52">
        <f t="shared" si="9"/>
        <v>6.5288434361164036</v>
      </c>
      <c r="L229" s="57">
        <v>11.089568149027413</v>
      </c>
      <c r="M229" s="49">
        <v>523.27968653018252</v>
      </c>
      <c r="N229" s="49">
        <f t="shared" si="10"/>
        <v>77446597.149746031</v>
      </c>
    </row>
    <row r="230" spans="2:14">
      <c r="B230" s="2">
        <v>2026</v>
      </c>
      <c r="C230" s="2" t="s">
        <v>23</v>
      </c>
      <c r="D230" s="2"/>
      <c r="E230" s="2"/>
      <c r="F230" s="22" t="s">
        <v>44</v>
      </c>
      <c r="G230" s="2">
        <v>1</v>
      </c>
      <c r="H230" s="17">
        <v>986682</v>
      </c>
      <c r="I230">
        <f t="shared" si="11"/>
        <v>986682</v>
      </c>
      <c r="J230" s="5">
        <f>SUM(J228:J229)</f>
        <v>52858.437771118537</v>
      </c>
      <c r="K230" s="52">
        <f t="shared" si="9"/>
        <v>18.666499457899526</v>
      </c>
      <c r="L230" s="57">
        <v>18.332069563205337</v>
      </c>
      <c r="M230" s="49">
        <v>523.27968653018252</v>
      </c>
      <c r="N230" s="49">
        <f t="shared" si="10"/>
        <v>516310647.66497356</v>
      </c>
    </row>
    <row r="231" spans="2:14">
      <c r="B231" s="2">
        <v>2026</v>
      </c>
      <c r="C231" s="2" t="s">
        <v>24</v>
      </c>
      <c r="D231" s="2"/>
      <c r="E231" s="2"/>
      <c r="F231" s="7" t="s">
        <v>42</v>
      </c>
      <c r="G231" s="3">
        <v>0.85</v>
      </c>
      <c r="H231" s="17">
        <v>1019934</v>
      </c>
      <c r="I231">
        <f t="shared" si="11"/>
        <v>866943.9</v>
      </c>
      <c r="J231" s="5">
        <v>31237.963148070787</v>
      </c>
      <c r="K231" s="52">
        <f t="shared" si="9"/>
        <v>27.752894639468234</v>
      </c>
      <c r="L231" s="57">
        <v>25.574570977383264</v>
      </c>
      <c r="M231" s="49">
        <v>568.46356218769256</v>
      </c>
      <c r="N231" s="49">
        <f t="shared" si="10"/>
        <v>492826017.61089075</v>
      </c>
    </row>
    <row r="232" spans="2:14">
      <c r="B232" s="2">
        <v>2026</v>
      </c>
      <c r="C232" s="2" t="s">
        <v>24</v>
      </c>
      <c r="D232" s="2"/>
      <c r="E232" s="2"/>
      <c r="F232" s="7" t="s">
        <v>43</v>
      </c>
      <c r="G232" s="3">
        <v>0.15</v>
      </c>
      <c r="H232" s="17">
        <v>1019934</v>
      </c>
      <c r="I232">
        <f t="shared" si="11"/>
        <v>152990.1</v>
      </c>
      <c r="J232" s="5">
        <v>23658.098073659665</v>
      </c>
      <c r="K232" s="52">
        <f t="shared" si="9"/>
        <v>6.4667117163714591</v>
      </c>
      <c r="L232" s="57">
        <v>11.089568149027413</v>
      </c>
      <c r="M232" s="49">
        <v>568.46356218769256</v>
      </c>
      <c r="N232" s="49">
        <f t="shared" si="10"/>
        <v>86969297.225451306</v>
      </c>
    </row>
    <row r="233" spans="2:14">
      <c r="B233" s="2">
        <v>2026</v>
      </c>
      <c r="C233" s="2" t="s">
        <v>24</v>
      </c>
      <c r="D233" s="2"/>
      <c r="E233" s="2"/>
      <c r="F233" s="22" t="s">
        <v>44</v>
      </c>
      <c r="G233" s="2">
        <v>1</v>
      </c>
      <c r="H233" s="17">
        <v>1019934</v>
      </c>
      <c r="I233">
        <f t="shared" si="11"/>
        <v>1019934</v>
      </c>
      <c r="J233" s="5">
        <f>SUM(J231:J232)</f>
        <v>54896.061221730452</v>
      </c>
      <c r="K233" s="52">
        <f t="shared" si="9"/>
        <v>18.579365755958133</v>
      </c>
      <c r="L233" s="57">
        <v>18.332069563205337</v>
      </c>
      <c r="M233" s="49">
        <v>568.46356218769256</v>
      </c>
      <c r="N233" s="49">
        <f t="shared" si="10"/>
        <v>579795314.83634198</v>
      </c>
    </row>
    <row r="234" spans="2:14">
      <c r="B234" s="2">
        <v>2026</v>
      </c>
      <c r="C234" s="2" t="s">
        <v>25</v>
      </c>
      <c r="D234" s="2"/>
      <c r="E234" s="2"/>
      <c r="F234" s="7" t="s">
        <v>42</v>
      </c>
      <c r="G234" s="3">
        <v>0.85</v>
      </c>
      <c r="H234" s="17">
        <v>687000</v>
      </c>
      <c r="I234">
        <f t="shared" si="11"/>
        <v>583950</v>
      </c>
      <c r="J234" s="5">
        <v>20138.384290123882</v>
      </c>
      <c r="K234" s="52">
        <f t="shared" si="9"/>
        <v>28.996864474692561</v>
      </c>
      <c r="L234" s="57">
        <v>25.574570977383264</v>
      </c>
      <c r="M234" s="49">
        <v>551.68080501090822</v>
      </c>
      <c r="N234" s="49">
        <f t="shared" si="10"/>
        <v>322154006.08611983</v>
      </c>
    </row>
    <row r="235" spans="2:14">
      <c r="B235" s="2">
        <v>2026</v>
      </c>
      <c r="C235" s="2" t="s">
        <v>25</v>
      </c>
      <c r="D235" s="2"/>
      <c r="E235" s="2"/>
      <c r="F235" s="7" t="s">
        <v>43</v>
      </c>
      <c r="G235" s="3">
        <v>0.15</v>
      </c>
      <c r="H235" s="17">
        <v>687000</v>
      </c>
      <c r="I235">
        <f t="shared" si="11"/>
        <v>103050</v>
      </c>
      <c r="J235" s="5">
        <v>15542.899766899767</v>
      </c>
      <c r="K235" s="52">
        <f t="shared" si="9"/>
        <v>6.6300369651392703</v>
      </c>
      <c r="L235" s="57">
        <v>11.089568149027413</v>
      </c>
      <c r="M235" s="49">
        <v>551.68080501090822</v>
      </c>
      <c r="N235" s="49">
        <f t="shared" si="10"/>
        <v>56850706.956374094</v>
      </c>
    </row>
    <row r="236" spans="2:14">
      <c r="B236" s="2">
        <v>2026</v>
      </c>
      <c r="C236" s="2" t="s">
        <v>25</v>
      </c>
      <c r="D236" s="2"/>
      <c r="E236" s="2"/>
      <c r="F236" s="22" t="s">
        <v>44</v>
      </c>
      <c r="G236" s="2">
        <v>1</v>
      </c>
      <c r="H236" s="17">
        <v>687000</v>
      </c>
      <c r="I236">
        <f t="shared" si="11"/>
        <v>687000</v>
      </c>
      <c r="J236" s="5">
        <f>SUM(J234:J235)</f>
        <v>35681.284057023651</v>
      </c>
      <c r="K236" s="52">
        <f t="shared" si="9"/>
        <v>19.253791396690726</v>
      </c>
      <c r="L236" s="57">
        <v>18.332069563205337</v>
      </c>
      <c r="M236" s="49">
        <v>551.68080501090822</v>
      </c>
      <c r="N236" s="49">
        <f t="shared" si="10"/>
        <v>379004713.04249394</v>
      </c>
    </row>
    <row r="237" spans="2:14">
      <c r="B237" s="2">
        <v>2026</v>
      </c>
      <c r="C237" s="2" t="s">
        <v>26</v>
      </c>
      <c r="D237" s="2"/>
      <c r="E237" s="2"/>
      <c r="F237" s="7" t="s">
        <v>42</v>
      </c>
      <c r="G237" s="3">
        <v>0.85</v>
      </c>
      <c r="H237" s="17">
        <v>864122</v>
      </c>
      <c r="I237">
        <f t="shared" si="11"/>
        <v>734503.7</v>
      </c>
      <c r="J237" s="5">
        <v>25419.605679008851</v>
      </c>
      <c r="K237" s="52">
        <f t="shared" si="9"/>
        <v>28.895164987021914</v>
      </c>
      <c r="L237" s="57">
        <v>25.574570977383264</v>
      </c>
      <c r="M237" s="49">
        <v>551.91486873773351</v>
      </c>
      <c r="N237" s="49">
        <f t="shared" si="10"/>
        <v>405383513.17287958</v>
      </c>
    </row>
    <row r="238" spans="2:14">
      <c r="B238" s="2">
        <v>2026</v>
      </c>
      <c r="C238" s="2" t="s">
        <v>26</v>
      </c>
      <c r="D238" s="2"/>
      <c r="E238" s="2"/>
      <c r="F238" s="7" t="s">
        <v>43</v>
      </c>
      <c r="G238" s="3">
        <v>0.15</v>
      </c>
      <c r="H238" s="17">
        <v>864122</v>
      </c>
      <c r="I238">
        <f t="shared" si="11"/>
        <v>129618.29999999999</v>
      </c>
      <c r="J238" s="5">
        <v>18350.594172494173</v>
      </c>
      <c r="K238" s="52">
        <f t="shared" si="9"/>
        <v>7.0634388609762686</v>
      </c>
      <c r="L238" s="57">
        <v>11.089568149027413</v>
      </c>
      <c r="M238" s="49">
        <v>551.91486873773351</v>
      </c>
      <c r="N238" s="49">
        <f t="shared" si="10"/>
        <v>71538267.030508161</v>
      </c>
    </row>
    <row r="239" spans="2:14">
      <c r="B239" s="2">
        <v>2026</v>
      </c>
      <c r="C239" s="2" t="s">
        <v>26</v>
      </c>
      <c r="D239" s="2"/>
      <c r="E239" s="2"/>
      <c r="F239" s="22" t="s">
        <v>44</v>
      </c>
      <c r="G239" s="2">
        <v>1</v>
      </c>
      <c r="H239" s="17">
        <v>864122</v>
      </c>
      <c r="I239">
        <f t="shared" si="11"/>
        <v>864122</v>
      </c>
      <c r="J239" s="5">
        <f>SUM(J237:J238)</f>
        <v>43770.199851503028</v>
      </c>
      <c r="K239" s="52">
        <f t="shared" si="9"/>
        <v>19.742244790557585</v>
      </c>
      <c r="L239" s="57">
        <v>18.332069563205337</v>
      </c>
      <c r="M239" s="49">
        <v>551.91486873773351</v>
      </c>
      <c r="N239" s="49">
        <f t="shared" si="10"/>
        <v>476921780.20338774</v>
      </c>
    </row>
    <row r="240" spans="2:14">
      <c r="B240" s="2">
        <v>2026</v>
      </c>
      <c r="C240" s="2" t="s">
        <v>27</v>
      </c>
      <c r="D240" s="2"/>
      <c r="E240" s="2"/>
      <c r="F240" s="7" t="s">
        <v>42</v>
      </c>
      <c r="G240" s="3">
        <v>0.85</v>
      </c>
      <c r="H240" s="17">
        <v>1007250</v>
      </c>
      <c r="I240">
        <f t="shared" si="11"/>
        <v>856162.5</v>
      </c>
      <c r="J240" s="5">
        <v>25565.530833982284</v>
      </c>
      <c r="K240" s="52">
        <f t="shared" si="9"/>
        <v>33.488938898228135</v>
      </c>
      <c r="L240" s="57">
        <v>25.574570977383264</v>
      </c>
      <c r="M240" s="49">
        <v>544.41109332564952</v>
      </c>
      <c r="N240" s="49">
        <f t="shared" si="10"/>
        <v>466104362.68942142</v>
      </c>
    </row>
    <row r="241" spans="2:14">
      <c r="B241" s="2">
        <v>2026</v>
      </c>
      <c r="C241" s="2" t="s">
        <v>27</v>
      </c>
      <c r="D241" s="2"/>
      <c r="E241" s="2"/>
      <c r="F241" s="7" t="s">
        <v>43</v>
      </c>
      <c r="G241" s="3">
        <v>0.15</v>
      </c>
      <c r="H241" s="17">
        <v>1007250</v>
      </c>
      <c r="I241">
        <f t="shared" si="11"/>
        <v>151087.5</v>
      </c>
      <c r="J241" s="5">
        <v>19512.46596736597</v>
      </c>
      <c r="K241" s="52">
        <f t="shared" si="9"/>
        <v>7.7431268939912279</v>
      </c>
      <c r="L241" s="57">
        <v>11.089568149027413</v>
      </c>
      <c r="M241" s="49">
        <v>544.41109332564952</v>
      </c>
      <c r="N241" s="49">
        <f t="shared" si="10"/>
        <v>82253711.062839076</v>
      </c>
    </row>
    <row r="242" spans="2:14">
      <c r="B242" s="2">
        <v>2026</v>
      </c>
      <c r="C242" s="2" t="s">
        <v>27</v>
      </c>
      <c r="D242" s="2"/>
      <c r="E242" s="2"/>
      <c r="F242" s="22" t="s">
        <v>44</v>
      </c>
      <c r="G242" s="2">
        <v>1</v>
      </c>
      <c r="H242" s="17">
        <v>1007250</v>
      </c>
      <c r="I242">
        <f t="shared" si="11"/>
        <v>1007250</v>
      </c>
      <c r="J242" s="5">
        <f>SUM(J240:J241)</f>
        <v>45077.996801348258</v>
      </c>
      <c r="K242" s="52">
        <f t="shared" si="9"/>
        <v>22.344604274204876</v>
      </c>
      <c r="L242" s="57">
        <v>18.332069563205337</v>
      </c>
      <c r="M242" s="49">
        <v>544.41109332564952</v>
      </c>
      <c r="N242" s="49">
        <f t="shared" si="10"/>
        <v>548358073.75226045</v>
      </c>
    </row>
    <row r="243" spans="2:14">
      <c r="B243" s="2">
        <v>2026</v>
      </c>
      <c r="C243" s="2" t="s">
        <v>28</v>
      </c>
      <c r="D243" s="2"/>
      <c r="E243" s="2"/>
      <c r="F243" s="7" t="s">
        <v>42</v>
      </c>
      <c r="G243" s="3">
        <v>0.85</v>
      </c>
      <c r="H243" s="17">
        <v>1067147</v>
      </c>
      <c r="I243">
        <f t="shared" si="11"/>
        <v>907074.95</v>
      </c>
      <c r="J243" s="5">
        <v>31834.209547964576</v>
      </c>
      <c r="K243" s="52">
        <f t="shared" si="9"/>
        <v>28.493716755659062</v>
      </c>
      <c r="L243" s="57">
        <v>25.574570977383264</v>
      </c>
      <c r="M243" s="49">
        <v>544.41109332564952</v>
      </c>
      <c r="N243" s="49">
        <f t="shared" si="10"/>
        <v>493821665.25780886</v>
      </c>
    </row>
    <row r="244" spans="2:14">
      <c r="B244" s="2">
        <v>2026</v>
      </c>
      <c r="C244" s="2" t="s">
        <v>28</v>
      </c>
      <c r="D244" s="2"/>
      <c r="E244" s="2"/>
      <c r="F244" s="7" t="s">
        <v>43</v>
      </c>
      <c r="G244" s="3">
        <v>0.15</v>
      </c>
      <c r="H244" s="17">
        <v>1067147</v>
      </c>
      <c r="I244">
        <f t="shared" si="11"/>
        <v>160072.04999999999</v>
      </c>
      <c r="J244" s="5">
        <v>24206.549184149182</v>
      </c>
      <c r="K244" s="52">
        <f t="shared" si="9"/>
        <v>6.6127579268844157</v>
      </c>
      <c r="L244" s="57">
        <v>11.089568149027413</v>
      </c>
      <c r="M244" s="49">
        <v>544.41109332564952</v>
      </c>
      <c r="N244" s="49">
        <f t="shared" si="10"/>
        <v>87144999.75137803</v>
      </c>
    </row>
    <row r="245" spans="2:14">
      <c r="B245" s="2">
        <v>2026</v>
      </c>
      <c r="C245" s="2" t="s">
        <v>28</v>
      </c>
      <c r="D245" s="2"/>
      <c r="E245" s="2"/>
      <c r="F245" s="22" t="s">
        <v>44</v>
      </c>
      <c r="G245" s="2">
        <v>1</v>
      </c>
      <c r="H245" s="17">
        <v>1067147</v>
      </c>
      <c r="I245">
        <f t="shared" si="11"/>
        <v>1067147</v>
      </c>
      <c r="J245" s="5">
        <f>SUM(J243:J244)</f>
        <v>56040.758732113754</v>
      </c>
      <c r="K245" s="52">
        <f t="shared" si="9"/>
        <v>19.042336758879017</v>
      </c>
      <c r="L245" s="57">
        <v>18.332069563205337</v>
      </c>
      <c r="M245" s="49">
        <v>544.41109332564952</v>
      </c>
      <c r="N245" s="49">
        <f t="shared" si="10"/>
        <v>580966665.00918686</v>
      </c>
    </row>
    <row r="246" spans="2:14">
      <c r="B246" s="2">
        <v>2026</v>
      </c>
      <c r="C246" s="2" t="s">
        <v>29</v>
      </c>
      <c r="D246" s="2"/>
      <c r="E246" s="2"/>
      <c r="F246" s="7" t="s">
        <v>42</v>
      </c>
      <c r="G246" s="3">
        <v>0.85</v>
      </c>
      <c r="H246" s="17">
        <v>1144675</v>
      </c>
      <c r="I246">
        <f t="shared" si="11"/>
        <v>972973.75</v>
      </c>
      <c r="J246" s="5">
        <v>29045.206629309723</v>
      </c>
      <c r="K246" s="52">
        <f t="shared" si="9"/>
        <v>33.498599697278976</v>
      </c>
      <c r="L246" s="57">
        <v>25.574570977383264</v>
      </c>
      <c r="M246" s="49">
        <v>529.57771806764561</v>
      </c>
      <c r="N246" s="49">
        <f t="shared" si="10"/>
        <v>515265218.2647199</v>
      </c>
    </row>
    <row r="247" spans="2:14">
      <c r="B247" s="2">
        <v>2026</v>
      </c>
      <c r="C247" s="2" t="s">
        <v>29</v>
      </c>
      <c r="D247" s="2"/>
      <c r="E247" s="2"/>
      <c r="F247" s="7" t="s">
        <v>43</v>
      </c>
      <c r="G247" s="3">
        <v>0.15</v>
      </c>
      <c r="H247" s="17">
        <v>1144675</v>
      </c>
      <c r="I247">
        <f t="shared" si="11"/>
        <v>171701.25</v>
      </c>
      <c r="J247" s="5">
        <v>23561.237529137532</v>
      </c>
      <c r="K247" s="52">
        <f t="shared" si="9"/>
        <v>7.2874461618436559</v>
      </c>
      <c r="L247" s="57">
        <v>11.089568149027413</v>
      </c>
      <c r="M247" s="49">
        <v>529.57771806764561</v>
      </c>
      <c r="N247" s="49">
        <f t="shared" si="10"/>
        <v>90929156.164362341</v>
      </c>
    </row>
    <row r="248" spans="2:14">
      <c r="B248" s="2">
        <v>2026</v>
      </c>
      <c r="C248" s="2" t="s">
        <v>29</v>
      </c>
      <c r="D248" s="2"/>
      <c r="E248" s="2"/>
      <c r="F248" s="22" t="s">
        <v>44</v>
      </c>
      <c r="G248" s="2">
        <v>1</v>
      </c>
      <c r="H248" s="17">
        <v>1144675</v>
      </c>
      <c r="I248">
        <f t="shared" si="11"/>
        <v>1144675</v>
      </c>
      <c r="J248" s="5">
        <f>SUM(J246:J247)</f>
        <v>52606.444158447252</v>
      </c>
      <c r="K248" s="52">
        <f t="shared" si="9"/>
        <v>21.759216352892281</v>
      </c>
      <c r="L248" s="57">
        <v>18.332069563205337</v>
      </c>
      <c r="M248" s="49">
        <v>529.57771806764561</v>
      </c>
      <c r="N248" s="49">
        <f>M248*I248</f>
        <v>606194374.42908227</v>
      </c>
    </row>
    <row r="249" spans="2:14">
      <c r="B249" s="2"/>
      <c r="C249" s="2"/>
      <c r="D249" s="2"/>
      <c r="E249" s="2"/>
      <c r="F249" s="7"/>
      <c r="G249" s="3"/>
      <c r="K249" s="4"/>
      <c r="L249" s="57"/>
    </row>
    <row r="250" spans="2:14">
      <c r="B250" s="2"/>
      <c r="C250" s="2"/>
      <c r="D250" s="2"/>
      <c r="E250" s="2"/>
      <c r="F250" s="7"/>
      <c r="G250" s="3"/>
      <c r="K250" s="4"/>
    </row>
    <row r="251" spans="2:14">
      <c r="B251" s="2"/>
      <c r="C251" s="2"/>
      <c r="D251" s="2"/>
      <c r="E251" s="2"/>
      <c r="F251" s="22"/>
      <c r="G251" s="2"/>
      <c r="K251" s="4"/>
      <c r="M251" s="49"/>
      <c r="N251" s="49"/>
    </row>
    <row r="252" spans="2:14">
      <c r="B252" s="2"/>
      <c r="C252" s="2"/>
      <c r="D252" s="2"/>
      <c r="E252" s="2"/>
      <c r="F252" s="7"/>
      <c r="G252" s="3"/>
      <c r="K252" s="4"/>
    </row>
    <row r="253" spans="2:14">
      <c r="B253" s="2"/>
      <c r="C253" s="2"/>
      <c r="D253" s="2"/>
      <c r="E253" s="2"/>
      <c r="F253" s="7"/>
      <c r="G253" s="3"/>
      <c r="K253" s="4"/>
    </row>
    <row r="254" spans="2:14">
      <c r="B254" s="2"/>
      <c r="C254" s="2"/>
      <c r="D254" s="2"/>
      <c r="E254" s="2"/>
      <c r="F254" s="22"/>
      <c r="G254" s="2"/>
      <c r="K254" s="4"/>
      <c r="M254" s="49"/>
      <c r="N254" s="49"/>
    </row>
    <row r="255" spans="2:14">
      <c r="B255" s="2"/>
      <c r="C255" s="2"/>
      <c r="D255" s="2"/>
      <c r="E255" s="2"/>
      <c r="F255" s="7"/>
      <c r="G255" s="3"/>
    </row>
    <row r="256" spans="2:14">
      <c r="B256" s="2"/>
      <c r="C256" s="2"/>
      <c r="D256" s="2"/>
      <c r="E256" s="2"/>
      <c r="F256" s="7"/>
      <c r="G256" s="3"/>
    </row>
    <row r="257" spans="2:7">
      <c r="B257" s="2"/>
      <c r="C257" s="2"/>
      <c r="D257" s="2"/>
      <c r="E257" s="2"/>
      <c r="F257" s="7"/>
      <c r="G257" s="2"/>
    </row>
    <row r="258" spans="2:7">
      <c r="B258" s="2"/>
      <c r="C258" s="2"/>
      <c r="D258" s="2"/>
      <c r="E258" s="2"/>
      <c r="F258" s="7"/>
      <c r="G258" s="3"/>
    </row>
    <row r="259" spans="2:7">
      <c r="B259" s="2"/>
      <c r="C259" s="2"/>
      <c r="D259" s="2"/>
      <c r="E259" s="2"/>
      <c r="F259" s="7"/>
      <c r="G259" s="3"/>
    </row>
    <row r="260" spans="2:7">
      <c r="B260" s="2"/>
      <c r="C260" s="2"/>
      <c r="D260" s="2"/>
      <c r="E260" s="2"/>
      <c r="F260" s="7"/>
      <c r="G260" s="2"/>
    </row>
    <row r="261" spans="2:7">
      <c r="B261" s="2"/>
      <c r="C261" s="2"/>
      <c r="D261" s="2"/>
      <c r="E261" s="2"/>
      <c r="F261" s="7"/>
      <c r="G261" s="3"/>
    </row>
    <row r="262" spans="2:7">
      <c r="B262" s="2"/>
      <c r="C262" s="2"/>
      <c r="D262" s="2"/>
      <c r="E262" s="2"/>
      <c r="F262" s="7"/>
      <c r="G262" s="3"/>
    </row>
    <row r="263" spans="2:7">
      <c r="B263" s="2"/>
      <c r="C263" s="2"/>
      <c r="D263" s="2"/>
      <c r="E263" s="2"/>
      <c r="F263" s="7"/>
      <c r="G263" s="2"/>
    </row>
  </sheetData>
  <mergeCells count="1"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24EA-4055-4A37-89F5-A3748DB90205}">
  <dimension ref="B1:N655"/>
  <sheetViews>
    <sheetView showGridLines="0" tabSelected="1" zoomScale="85" workbookViewId="0">
      <selection activeCell="B2" sqref="B2"/>
    </sheetView>
  </sheetViews>
  <sheetFormatPr defaultColWidth="11.42578125" defaultRowHeight="14.45"/>
  <cols>
    <col min="3" max="3" width="12.140625" customWidth="1"/>
    <col min="4" max="5" width="10.85546875" bestFit="1" customWidth="1"/>
    <col min="6" max="6" width="19.140625" customWidth="1"/>
    <col min="7" max="7" width="10.85546875" bestFit="1" customWidth="1"/>
    <col min="8" max="8" width="28.5703125" style="12" bestFit="1" customWidth="1"/>
    <col min="9" max="9" width="15.5703125" style="26" bestFit="1" customWidth="1"/>
    <col min="10" max="10" width="23" style="26" customWidth="1"/>
    <col min="11" max="11" width="15.42578125" bestFit="1" customWidth="1"/>
    <col min="12" max="12" width="23" customWidth="1"/>
    <col min="13" max="13" width="16.42578125" customWidth="1"/>
  </cols>
  <sheetData>
    <row r="1" spans="2:14">
      <c r="D1" s="59" t="s">
        <v>39</v>
      </c>
      <c r="E1" s="59"/>
      <c r="H1" s="40" t="s">
        <v>40</v>
      </c>
      <c r="M1" t="s">
        <v>0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7" t="s">
        <v>8</v>
      </c>
      <c r="J2" s="27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>
        <f>YEAR(EDATE(DATE(2017,10,1),ROWS($A$2:A2)-1))</f>
        <v>2017</v>
      </c>
      <c r="C3" s="2" t="str">
        <f>PROPER(TEXT(EDATE(DATE(2019,10,1),ROWS($B$2:B2)-1),"mmm"))</f>
        <v>Oct</v>
      </c>
      <c r="F3" s="12" t="s">
        <v>45</v>
      </c>
      <c r="G3" s="3">
        <v>1</v>
      </c>
      <c r="H3" s="6">
        <v>321913.99999999959</v>
      </c>
      <c r="I3" s="55">
        <f t="shared" ref="I3:I34" si="0">G3*H3</f>
        <v>321913.99999999959</v>
      </c>
      <c r="J3" s="33">
        <v>3120</v>
      </c>
      <c r="K3" s="14">
        <f>I3/J3</f>
        <v>103.17756410256398</v>
      </c>
      <c r="M3" s="49"/>
      <c r="N3" s="49">
        <v>0</v>
      </c>
    </row>
    <row r="4" spans="2:14">
      <c r="B4" s="2">
        <f>YEAR(EDATE(DATE(2017,10,1),ROWS($A$2:A3)-1))</f>
        <v>2017</v>
      </c>
      <c r="C4" s="2" t="str">
        <f>PROPER(TEXT(EDATE(DATE(2019,10,1),ROWS($B$2:B3)-1),"mmm"))</f>
        <v>Nov</v>
      </c>
      <c r="F4" s="12" t="s">
        <v>45</v>
      </c>
      <c r="G4" s="3">
        <v>1</v>
      </c>
      <c r="H4" s="6">
        <v>428732.00000000012</v>
      </c>
      <c r="I4" s="55">
        <f t="shared" si="0"/>
        <v>428732.00000000012</v>
      </c>
      <c r="J4" s="33">
        <v>2869</v>
      </c>
      <c r="K4" s="14">
        <f t="shared" ref="K4:K67" si="1">I4/J4</f>
        <v>149.4360404322064</v>
      </c>
      <c r="M4" s="49"/>
      <c r="N4" s="49">
        <v>0</v>
      </c>
    </row>
    <row r="5" spans="2:14">
      <c r="B5" s="2">
        <f>YEAR(EDATE(DATE(2017,10,1),ROWS($A$2:A4)-1))</f>
        <v>2017</v>
      </c>
      <c r="C5" s="2" t="str">
        <f>PROPER(TEXT(EDATE(DATE(2019,10,1),ROWS($B$2:B4)-1),"mmm"))</f>
        <v>Dec</v>
      </c>
      <c r="F5" s="12" t="s">
        <v>45</v>
      </c>
      <c r="G5" s="3">
        <v>1</v>
      </c>
      <c r="H5" s="6">
        <v>243970.0000000009</v>
      </c>
      <c r="I5" s="55">
        <f t="shared" si="0"/>
        <v>243970.0000000009</v>
      </c>
      <c r="J5" s="33">
        <v>2634</v>
      </c>
      <c r="K5" s="14">
        <f t="shared" si="1"/>
        <v>92.623386484434661</v>
      </c>
      <c r="M5" s="49"/>
      <c r="N5" s="49">
        <v>0</v>
      </c>
    </row>
    <row r="6" spans="2:14">
      <c r="B6" s="2">
        <f>YEAR(EDATE(DATE(2017,10,1),ROWS($A$2:A5)-1))</f>
        <v>2018</v>
      </c>
      <c r="C6" s="2" t="str">
        <f>PROPER(TEXT(EDATE(DATE(2019,10,1),ROWS($B$2:B5)-1),"mmm"))</f>
        <v>Jan</v>
      </c>
      <c r="F6" s="12" t="s">
        <v>45</v>
      </c>
      <c r="G6" s="3">
        <v>1</v>
      </c>
      <c r="H6" s="6">
        <v>380516.00000000006</v>
      </c>
      <c r="I6" s="55">
        <f t="shared" si="0"/>
        <v>380516.00000000006</v>
      </c>
      <c r="J6" s="33">
        <v>2535</v>
      </c>
      <c r="K6" s="14">
        <f t="shared" si="1"/>
        <v>150.10493096646945</v>
      </c>
      <c r="M6" s="49"/>
      <c r="N6" s="49">
        <v>0</v>
      </c>
    </row>
    <row r="7" spans="2:14">
      <c r="B7" s="2">
        <f>YEAR(EDATE(DATE(2017,10,1),ROWS($A$2:A6)-1))</f>
        <v>2018</v>
      </c>
      <c r="C7" s="2" t="str">
        <f>PROPER(TEXT(EDATE(DATE(2019,10,1),ROWS($B$2:B6)-1),"mmm"))</f>
        <v>Feb</v>
      </c>
      <c r="F7" s="12" t="s">
        <v>45</v>
      </c>
      <c r="G7" s="3">
        <v>1</v>
      </c>
      <c r="H7" s="6">
        <v>407382.00000000192</v>
      </c>
      <c r="I7" s="55">
        <f t="shared" si="0"/>
        <v>407382.00000000192</v>
      </c>
      <c r="J7" s="33">
        <v>2695</v>
      </c>
      <c r="K7" s="14">
        <f t="shared" si="1"/>
        <v>151.16215213358143</v>
      </c>
      <c r="M7" s="49"/>
      <c r="N7" s="49">
        <v>0</v>
      </c>
    </row>
    <row r="8" spans="2:14">
      <c r="B8" s="2">
        <f>YEAR(EDATE(DATE(2017,10,1),ROWS($A$2:A7)-1))</f>
        <v>2018</v>
      </c>
      <c r="C8" s="2" t="str">
        <f>PROPER(TEXT(EDATE(DATE(2019,10,1),ROWS($B$2:B7)-1),"mmm"))</f>
        <v>Mar</v>
      </c>
      <c r="F8" s="12" t="s">
        <v>45</v>
      </c>
      <c r="G8" s="3">
        <v>1</v>
      </c>
      <c r="H8" s="6">
        <v>303177.30434784095</v>
      </c>
      <c r="I8" s="55">
        <f t="shared" si="0"/>
        <v>303177.30434784095</v>
      </c>
      <c r="J8" s="33">
        <v>2766</v>
      </c>
      <c r="K8" s="14">
        <f t="shared" si="1"/>
        <v>109.60856990160555</v>
      </c>
      <c r="M8" s="49"/>
      <c r="N8" s="49">
        <v>0</v>
      </c>
    </row>
    <row r="9" spans="2:14" s="9" customFormat="1">
      <c r="B9" s="2">
        <f>YEAR(EDATE(DATE(2017,10,1),ROWS($A$2:A8)-1))</f>
        <v>2018</v>
      </c>
      <c r="C9" s="2" t="str">
        <f>PROPER(TEXT(EDATE(DATE(2019,10,1),ROWS($B$2:B8)-1),"mmm"))</f>
        <v>Apr</v>
      </c>
      <c r="F9" s="12" t="s">
        <v>45</v>
      </c>
      <c r="G9" s="3">
        <v>1</v>
      </c>
      <c r="H9" s="11">
        <v>427132.69565219746</v>
      </c>
      <c r="I9" s="55">
        <f t="shared" si="0"/>
        <v>427132.69565219746</v>
      </c>
      <c r="J9" s="34">
        <v>2776</v>
      </c>
      <c r="K9" s="14">
        <f t="shared" si="1"/>
        <v>153.86624483148324</v>
      </c>
      <c r="M9" s="49"/>
      <c r="N9" s="49">
        <v>0</v>
      </c>
    </row>
    <row r="10" spans="2:14">
      <c r="B10" s="2">
        <f>YEAR(EDATE(DATE(2017,10,1),ROWS($A$2:A9)-1))</f>
        <v>2018</v>
      </c>
      <c r="C10" s="2" t="str">
        <f>PROPER(TEXT(EDATE(DATE(2019,10,1),ROWS($B$2:B9)-1),"mmm"))</f>
        <v>May</v>
      </c>
      <c r="F10" s="12" t="s">
        <v>45</v>
      </c>
      <c r="G10" s="3">
        <v>1</v>
      </c>
      <c r="H10" s="6">
        <v>323256.00000000064</v>
      </c>
      <c r="I10" s="55">
        <f t="shared" si="0"/>
        <v>323256.00000000064</v>
      </c>
      <c r="J10" s="33">
        <v>2758</v>
      </c>
      <c r="K10" s="14">
        <f t="shared" si="1"/>
        <v>117.20667150108798</v>
      </c>
      <c r="M10" s="49"/>
      <c r="N10" s="49">
        <v>0</v>
      </c>
    </row>
    <row r="11" spans="2:14">
      <c r="B11" s="2">
        <f>YEAR(EDATE(DATE(2017,10,1),ROWS($A$2:A10)-1))</f>
        <v>2018</v>
      </c>
      <c r="C11" s="2" t="str">
        <f>PROPER(TEXT(EDATE(DATE(2019,10,1),ROWS($B$2:B10)-1),"mmm"))</f>
        <v>Jun</v>
      </c>
      <c r="F11" s="12" t="s">
        <v>45</v>
      </c>
      <c r="G11" s="3">
        <v>1</v>
      </c>
      <c r="H11" s="6">
        <v>315516.00000000233</v>
      </c>
      <c r="I11" s="55">
        <f t="shared" si="0"/>
        <v>315516.00000000233</v>
      </c>
      <c r="J11" s="33">
        <v>2766</v>
      </c>
      <c r="K11" s="14">
        <f t="shared" si="1"/>
        <v>114.06941431670366</v>
      </c>
      <c r="M11" s="49"/>
      <c r="N11" s="49">
        <v>0</v>
      </c>
    </row>
    <row r="12" spans="2:14">
      <c r="B12" s="2">
        <f>YEAR(EDATE(DATE(2017,10,1),ROWS($A$2:A11)-1))</f>
        <v>2018</v>
      </c>
      <c r="C12" s="2" t="str">
        <f>PROPER(TEXT(EDATE(DATE(2019,10,1),ROWS($B$2:B11)-1),"mmm"))</f>
        <v>Jul</v>
      </c>
      <c r="F12" s="12" t="s">
        <v>45</v>
      </c>
      <c r="G12" s="3">
        <v>1</v>
      </c>
      <c r="H12" s="6">
        <v>441876.00000000058</v>
      </c>
      <c r="I12" s="55">
        <f t="shared" si="0"/>
        <v>441876.00000000058</v>
      </c>
      <c r="J12" s="33">
        <v>2838</v>
      </c>
      <c r="K12" s="14">
        <f t="shared" si="1"/>
        <v>155.69978858350973</v>
      </c>
      <c r="M12" s="49"/>
      <c r="N12" s="49">
        <v>0</v>
      </c>
    </row>
    <row r="13" spans="2:14">
      <c r="B13" s="2">
        <f>YEAR(EDATE(DATE(2017,10,1),ROWS($A$2:A12)-1))</f>
        <v>2018</v>
      </c>
      <c r="C13" s="2" t="str">
        <f>PROPER(TEXT(EDATE(DATE(2019,10,1),ROWS($B$2:B12)-1),"mmm"))</f>
        <v>Aug</v>
      </c>
      <c r="F13" s="12" t="s">
        <v>45</v>
      </c>
      <c r="G13" s="3">
        <v>1</v>
      </c>
      <c r="H13" s="6">
        <v>380640</v>
      </c>
      <c r="I13" s="55">
        <f t="shared" si="0"/>
        <v>380640</v>
      </c>
      <c r="J13" s="33">
        <v>2535</v>
      </c>
      <c r="K13" s="14">
        <f t="shared" si="1"/>
        <v>150.15384615384616</v>
      </c>
      <c r="M13" s="49"/>
      <c r="N13" s="49">
        <v>0</v>
      </c>
    </row>
    <row r="14" spans="2:14">
      <c r="B14" s="2">
        <f>YEAR(EDATE(DATE(2017,10,1),ROWS($A$2:A13)-1))</f>
        <v>2018</v>
      </c>
      <c r="C14" s="2" t="str">
        <f>PROPER(TEXT(EDATE(DATE(2019,10,1),ROWS($B$2:B13)-1),"mmm"))</f>
        <v>Sep</v>
      </c>
      <c r="F14" s="12" t="s">
        <v>45</v>
      </c>
      <c r="G14" s="3">
        <v>1</v>
      </c>
      <c r="H14" s="6">
        <v>361324</v>
      </c>
      <c r="I14" s="55">
        <f t="shared" si="0"/>
        <v>361324</v>
      </c>
      <c r="J14" s="33">
        <v>2730</v>
      </c>
      <c r="K14" s="14">
        <f t="shared" si="1"/>
        <v>132.35311355311356</v>
      </c>
      <c r="M14" s="49"/>
      <c r="N14" s="49">
        <v>0</v>
      </c>
    </row>
    <row r="15" spans="2:14">
      <c r="B15" s="2">
        <f>YEAR(EDATE(DATE(2017,10,1),ROWS($A$2:A14)-1))</f>
        <v>2018</v>
      </c>
      <c r="C15" s="2" t="str">
        <f>PROPER(TEXT(EDATE(DATE(2019,10,1),ROWS($B$2:B14)-1),"mmm"))</f>
        <v>Oct</v>
      </c>
      <c r="F15" s="12" t="s">
        <v>45</v>
      </c>
      <c r="G15" s="3">
        <v>1</v>
      </c>
      <c r="H15" s="13">
        <v>408696</v>
      </c>
      <c r="I15" s="55">
        <f t="shared" si="0"/>
        <v>408696</v>
      </c>
      <c r="J15" s="33">
        <v>2846</v>
      </c>
      <c r="K15" s="14">
        <f t="shared" si="1"/>
        <v>143.60365425158116</v>
      </c>
      <c r="M15" s="49"/>
      <c r="N15" s="49">
        <v>0</v>
      </c>
    </row>
    <row r="16" spans="2:14">
      <c r="B16" s="2">
        <f>YEAR(EDATE(DATE(2017,10,1),ROWS($A$2:A15)-1))</f>
        <v>2018</v>
      </c>
      <c r="C16" s="2" t="str">
        <f>PROPER(TEXT(EDATE(DATE(2019,10,1),ROWS($B$2:B15)-1),"mmm"))</f>
        <v>Nov</v>
      </c>
      <c r="F16" s="12" t="s">
        <v>45</v>
      </c>
      <c r="G16" s="3">
        <v>1</v>
      </c>
      <c r="H16" s="13">
        <v>307978</v>
      </c>
      <c r="I16" s="55">
        <f t="shared" si="0"/>
        <v>307978</v>
      </c>
      <c r="J16" s="33">
        <v>2575</v>
      </c>
      <c r="K16" s="14">
        <f t="shared" si="1"/>
        <v>119.60310679611651</v>
      </c>
      <c r="L16" s="5"/>
      <c r="M16" s="49"/>
      <c r="N16" s="49">
        <v>0</v>
      </c>
    </row>
    <row r="17" spans="2:14">
      <c r="B17" s="2">
        <f>YEAR(EDATE(DATE(2017,10,1),ROWS($A$2:A16)-1))</f>
        <v>2018</v>
      </c>
      <c r="C17" s="2" t="str">
        <f>PROPER(TEXT(EDATE(DATE(2019,10,1),ROWS($B$2:B16)-1),"mmm"))</f>
        <v>Dec</v>
      </c>
      <c r="F17" s="12" t="s">
        <v>45</v>
      </c>
      <c r="G17" s="3">
        <v>1</v>
      </c>
      <c r="H17" s="13">
        <v>385940</v>
      </c>
      <c r="I17" s="55">
        <f t="shared" si="0"/>
        <v>385940</v>
      </c>
      <c r="J17" s="33">
        <v>2691</v>
      </c>
      <c r="K17" s="14">
        <f t="shared" si="1"/>
        <v>143.41880341880341</v>
      </c>
      <c r="M17" s="49"/>
      <c r="N17" s="49">
        <v>0</v>
      </c>
    </row>
    <row r="18" spans="2:14">
      <c r="B18" s="2">
        <f>YEAR(EDATE(DATE(2017,10,1),ROWS($A$2:A17)-1))</f>
        <v>2019</v>
      </c>
      <c r="C18" s="2" t="str">
        <f>PROPER(TEXT(EDATE(DATE(2019,10,1),ROWS($B$2:B17)-1),"mmm"))</f>
        <v>Jan</v>
      </c>
      <c r="F18" s="12" t="s">
        <v>45</v>
      </c>
      <c r="G18" s="3">
        <v>1</v>
      </c>
      <c r="H18" s="13">
        <v>315276</v>
      </c>
      <c r="I18" s="55">
        <f t="shared" si="0"/>
        <v>315276</v>
      </c>
      <c r="J18" s="33">
        <v>2632</v>
      </c>
      <c r="K18" s="14">
        <f t="shared" si="1"/>
        <v>119.78571428571429</v>
      </c>
      <c r="M18" s="49"/>
      <c r="N18" s="49">
        <v>0</v>
      </c>
    </row>
    <row r="19" spans="2:14">
      <c r="B19" s="2">
        <f>YEAR(EDATE(DATE(2017,10,1),ROWS($A$2:A18)-1))</f>
        <v>2019</v>
      </c>
      <c r="C19" s="2" t="str">
        <f>PROPER(TEXT(EDATE(DATE(2019,10,1),ROWS($B$2:B18)-1),"mmm"))</f>
        <v>Feb</v>
      </c>
      <c r="F19" s="12" t="s">
        <v>45</v>
      </c>
      <c r="G19" s="3">
        <v>1</v>
      </c>
      <c r="H19" s="13">
        <v>385316</v>
      </c>
      <c r="I19" s="55">
        <f t="shared" si="0"/>
        <v>385316</v>
      </c>
      <c r="J19" s="33">
        <v>2399</v>
      </c>
      <c r="K19" s="14">
        <f t="shared" si="1"/>
        <v>160.61525635681534</v>
      </c>
      <c r="M19" s="49"/>
      <c r="N19" s="49">
        <v>0</v>
      </c>
    </row>
    <row r="20" spans="2:14">
      <c r="B20" s="2">
        <f>YEAR(EDATE(DATE(2017,10,1),ROWS($A$2:A19)-1))</f>
        <v>2019</v>
      </c>
      <c r="C20" s="2" t="str">
        <f>PROPER(TEXT(EDATE(DATE(2019,10,1),ROWS($B$2:B19)-1),"mmm"))</f>
        <v>Mar</v>
      </c>
      <c r="F20" s="12" t="s">
        <v>45</v>
      </c>
      <c r="G20" s="3">
        <v>1</v>
      </c>
      <c r="H20" s="13">
        <v>395195.19999998808</v>
      </c>
      <c r="I20" s="55">
        <f t="shared" si="0"/>
        <v>395195.19999998808</v>
      </c>
      <c r="J20" s="33">
        <v>2617</v>
      </c>
      <c r="K20" s="14">
        <f t="shared" si="1"/>
        <v>151.01077569735884</v>
      </c>
      <c r="M20" s="49"/>
      <c r="N20" s="49">
        <v>0</v>
      </c>
    </row>
    <row r="21" spans="2:14">
      <c r="B21" s="2">
        <f>YEAR(EDATE(DATE(2017,10,1),ROWS($A$2:A20)-1))</f>
        <v>2019</v>
      </c>
      <c r="C21" s="2" t="str">
        <f>PROPER(TEXT(EDATE(DATE(2019,10,1),ROWS($B$2:B20)-1),"mmm"))</f>
        <v>Apr</v>
      </c>
      <c r="F21" s="12" t="s">
        <v>45</v>
      </c>
      <c r="G21" s="3">
        <v>1</v>
      </c>
      <c r="H21" s="13">
        <v>272836</v>
      </c>
      <c r="I21" s="55">
        <f t="shared" si="0"/>
        <v>272836</v>
      </c>
      <c r="J21" s="33">
        <v>2663</v>
      </c>
      <c r="K21" s="14">
        <f t="shared" si="1"/>
        <v>102.45437476530229</v>
      </c>
      <c r="M21" s="49"/>
      <c r="N21" s="49">
        <v>0</v>
      </c>
    </row>
    <row r="22" spans="2:14">
      <c r="B22" s="2">
        <f>YEAR(EDATE(DATE(2017,10,1),ROWS($A$2:A21)-1))</f>
        <v>2019</v>
      </c>
      <c r="C22" s="2" t="str">
        <f>PROPER(TEXT(EDATE(DATE(2019,10,1),ROWS($B$2:B21)-1),"mmm"))</f>
        <v>May</v>
      </c>
      <c r="F22" s="12" t="s">
        <v>45</v>
      </c>
      <c r="G22" s="3">
        <v>1</v>
      </c>
      <c r="H22" s="13">
        <v>418760</v>
      </c>
      <c r="I22" s="55">
        <f t="shared" si="0"/>
        <v>418760</v>
      </c>
      <c r="J22" s="33">
        <v>2942</v>
      </c>
      <c r="K22" s="14">
        <f t="shared" si="1"/>
        <v>142.33854520734195</v>
      </c>
      <c r="M22" s="49"/>
      <c r="N22" s="49">
        <v>0</v>
      </c>
    </row>
    <row r="23" spans="2:14">
      <c r="B23" s="2">
        <f>YEAR(EDATE(DATE(2017,10,1),ROWS($A$2:A22)-1))</f>
        <v>2019</v>
      </c>
      <c r="C23" s="2" t="str">
        <f>PROPER(TEXT(EDATE(DATE(2019,10,1),ROWS($B$2:B22)-1),"mmm"))</f>
        <v>Jun</v>
      </c>
      <c r="F23" s="12" t="s">
        <v>45</v>
      </c>
      <c r="G23" s="3">
        <v>1</v>
      </c>
      <c r="H23" s="13">
        <v>372112</v>
      </c>
      <c r="I23" s="55">
        <f t="shared" si="0"/>
        <v>372112</v>
      </c>
      <c r="J23" s="33">
        <v>2892</v>
      </c>
      <c r="K23" s="14">
        <f t="shared" si="1"/>
        <v>128.66943291839559</v>
      </c>
      <c r="M23" s="49"/>
      <c r="N23" s="49">
        <v>0</v>
      </c>
    </row>
    <row r="24" spans="2:14">
      <c r="B24" s="2">
        <f>YEAR(EDATE(DATE(2017,10,1),ROWS($A$2:A23)-1))</f>
        <v>2019</v>
      </c>
      <c r="C24" s="2" t="str">
        <f>PROPER(TEXT(EDATE(DATE(2019,10,1),ROWS($B$2:B23)-1),"mmm"))</f>
        <v>Jul</v>
      </c>
      <c r="F24" s="12" t="s">
        <v>45</v>
      </c>
      <c r="G24" s="3">
        <v>1</v>
      </c>
      <c r="H24" s="13">
        <v>441072</v>
      </c>
      <c r="I24" s="55">
        <f t="shared" si="0"/>
        <v>441072</v>
      </c>
      <c r="J24" s="33">
        <v>2740</v>
      </c>
      <c r="K24" s="14">
        <f t="shared" si="1"/>
        <v>160.97518248175183</v>
      </c>
      <c r="M24" s="49"/>
      <c r="N24" s="49">
        <v>0</v>
      </c>
    </row>
    <row r="25" spans="2:14">
      <c r="B25" s="2">
        <f>YEAR(EDATE(DATE(2017,10,1),ROWS($A$2:A24)-1))</f>
        <v>2019</v>
      </c>
      <c r="C25" s="2" t="str">
        <f>PROPER(TEXT(EDATE(DATE(2019,10,1),ROWS($B$2:B24)-1),"mmm"))</f>
        <v>Aug</v>
      </c>
      <c r="F25" s="12" t="s">
        <v>45</v>
      </c>
      <c r="G25" s="3">
        <v>1</v>
      </c>
      <c r="H25" s="13">
        <v>511227</v>
      </c>
      <c r="I25" s="55">
        <f t="shared" si="0"/>
        <v>511227</v>
      </c>
      <c r="J25" s="33">
        <v>2750</v>
      </c>
      <c r="K25" s="14">
        <f t="shared" si="1"/>
        <v>185.90072727272727</v>
      </c>
      <c r="M25" s="49"/>
      <c r="N25" s="49">
        <v>0</v>
      </c>
    </row>
    <row r="26" spans="2:14">
      <c r="B26" s="2">
        <f>YEAR(EDATE(DATE(2017,10,1),ROWS($A$2:A25)-1))</f>
        <v>2019</v>
      </c>
      <c r="C26" s="2" t="str">
        <f>PROPER(TEXT(EDATE(DATE(2019,10,1),ROWS($B$2:B25)-1),"mmm"))</f>
        <v>Sep</v>
      </c>
      <c r="F26" s="12" t="s">
        <v>45</v>
      </c>
      <c r="G26" s="3">
        <v>1</v>
      </c>
      <c r="H26" s="13">
        <v>578705</v>
      </c>
      <c r="I26" s="55">
        <f t="shared" si="0"/>
        <v>578705</v>
      </c>
      <c r="J26" s="33">
        <v>2800</v>
      </c>
      <c r="K26" s="14">
        <f t="shared" si="1"/>
        <v>206.68035714285713</v>
      </c>
      <c r="M26" s="49"/>
      <c r="N26" s="49">
        <v>0</v>
      </c>
    </row>
    <row r="27" spans="2:14">
      <c r="B27" s="2">
        <f>YEAR(EDATE(DATE(2017,10,1),ROWS($A$2:A26)-1))</f>
        <v>2019</v>
      </c>
      <c r="C27" s="2" t="str">
        <f>PROPER(TEXT(EDATE(DATE(2019,10,1),ROWS($B$2:B26)-1),"mmm"))</f>
        <v>Oct</v>
      </c>
      <c r="F27" s="12" t="s">
        <v>45</v>
      </c>
      <c r="G27" s="3">
        <v>1</v>
      </c>
      <c r="H27" s="13">
        <v>596928</v>
      </c>
      <c r="I27" s="55">
        <f t="shared" si="0"/>
        <v>596928</v>
      </c>
      <c r="J27" s="33">
        <v>2880</v>
      </c>
      <c r="K27" s="14">
        <f t="shared" si="1"/>
        <v>207.26666666666668</v>
      </c>
      <c r="M27" s="49"/>
      <c r="N27" s="49">
        <v>0</v>
      </c>
    </row>
    <row r="28" spans="2:14">
      <c r="B28" s="2">
        <f>YEAR(EDATE(DATE(2017,10,1),ROWS($A$2:A27)-1))</f>
        <v>2019</v>
      </c>
      <c r="C28" s="2" t="str">
        <f>PROPER(TEXT(EDATE(DATE(2019,10,1),ROWS($B$2:B27)-1),"mmm"))</f>
        <v>Nov</v>
      </c>
      <c r="F28" s="12" t="s">
        <v>45</v>
      </c>
      <c r="G28" s="3">
        <v>1</v>
      </c>
      <c r="H28" s="13">
        <v>420628</v>
      </c>
      <c r="I28" s="55">
        <f t="shared" si="0"/>
        <v>420628</v>
      </c>
      <c r="J28" s="33">
        <v>2900</v>
      </c>
      <c r="K28" s="14">
        <f t="shared" si="1"/>
        <v>145.04413793103447</v>
      </c>
      <c r="M28" s="49"/>
      <c r="N28" s="49">
        <v>0</v>
      </c>
    </row>
    <row r="29" spans="2:14">
      <c r="B29" s="2">
        <f>YEAR(EDATE(DATE(2017,10,1),ROWS($A$2:A28)-1))</f>
        <v>2019</v>
      </c>
      <c r="C29" s="2" t="str">
        <f>PROPER(TEXT(EDATE(DATE(2019,10,1),ROWS($B$2:B28)-1),"mmm"))</f>
        <v>Dec</v>
      </c>
      <c r="F29" s="12" t="s">
        <v>45</v>
      </c>
      <c r="G29" s="3">
        <v>1</v>
      </c>
      <c r="H29" s="13">
        <v>522236.22222223878</v>
      </c>
      <c r="I29" s="55">
        <f t="shared" si="0"/>
        <v>522236.22222223878</v>
      </c>
      <c r="J29" s="33">
        <v>2838</v>
      </c>
      <c r="K29" s="14">
        <f t="shared" si="1"/>
        <v>184.01558217837871</v>
      </c>
      <c r="M29" s="49"/>
      <c r="N29" s="49">
        <v>0</v>
      </c>
    </row>
    <row r="30" spans="2:14">
      <c r="B30" s="2">
        <f>YEAR(EDATE(DATE(2017,10,1),ROWS($A$2:A29)-1))</f>
        <v>2020</v>
      </c>
      <c r="C30" s="2" t="str">
        <f>PROPER(TEXT(EDATE(DATE(2019,10,1),ROWS($B$2:B29)-1),"mmm"))</f>
        <v>Jan</v>
      </c>
      <c r="F30" s="12" t="s">
        <v>45</v>
      </c>
      <c r="G30" s="3">
        <v>1</v>
      </c>
      <c r="H30" s="13">
        <v>288929</v>
      </c>
      <c r="I30" s="55">
        <f t="shared" si="0"/>
        <v>288929</v>
      </c>
      <c r="J30" s="33">
        <v>2760</v>
      </c>
      <c r="K30" s="14">
        <f t="shared" si="1"/>
        <v>104.68442028985507</v>
      </c>
      <c r="M30" s="49"/>
      <c r="N30" s="49">
        <v>0</v>
      </c>
    </row>
    <row r="31" spans="2:14">
      <c r="B31" s="2">
        <f>YEAR(EDATE(DATE(2017,10,1),ROWS($A$2:A30)-1))</f>
        <v>2020</v>
      </c>
      <c r="C31" s="2" t="str">
        <f>PROPER(TEXT(EDATE(DATE(2019,10,1),ROWS($B$2:B30)-1),"mmm"))</f>
        <v>Feb</v>
      </c>
      <c r="F31" s="12" t="s">
        <v>45</v>
      </c>
      <c r="G31" s="3">
        <v>1</v>
      </c>
      <c r="H31" s="13">
        <v>440076</v>
      </c>
      <c r="I31" s="55">
        <f t="shared" si="0"/>
        <v>440076</v>
      </c>
      <c r="J31" s="33">
        <v>2617</v>
      </c>
      <c r="K31" s="14">
        <f t="shared" si="1"/>
        <v>168.16048910966757</v>
      </c>
      <c r="M31" s="49"/>
      <c r="N31" s="49">
        <v>0</v>
      </c>
    </row>
    <row r="32" spans="2:14">
      <c r="B32" s="2">
        <f>YEAR(EDATE(DATE(2017,10,1),ROWS($A$2:A31)-1))</f>
        <v>2020</v>
      </c>
      <c r="C32" s="2" t="str">
        <f>PROPER(TEXT(EDATE(DATE(2019,10,1),ROWS($B$2:B31)-1),"mmm"))</f>
        <v>Mar</v>
      </c>
      <c r="F32" s="12" t="s">
        <v>45</v>
      </c>
      <c r="G32" s="3">
        <v>1</v>
      </c>
      <c r="H32" s="13">
        <v>411044</v>
      </c>
      <c r="I32" s="55">
        <f t="shared" si="0"/>
        <v>411044</v>
      </c>
      <c r="J32" s="33">
        <v>2911</v>
      </c>
      <c r="K32" s="14">
        <f t="shared" si="1"/>
        <v>141.20371006526966</v>
      </c>
      <c r="M32" s="49"/>
      <c r="N32" s="49">
        <v>0</v>
      </c>
    </row>
    <row r="33" spans="2:14">
      <c r="B33" s="2">
        <f>YEAR(EDATE(DATE(2017,10,1),ROWS($A$2:A32)-1))</f>
        <v>2020</v>
      </c>
      <c r="C33" s="2" t="str">
        <f>PROPER(TEXT(EDATE(DATE(2019,10,1),ROWS($B$2:B32)-1),"mmm"))</f>
        <v>Apr</v>
      </c>
      <c r="F33" s="12" t="s">
        <v>45</v>
      </c>
      <c r="G33" s="3">
        <v>1</v>
      </c>
      <c r="H33" s="13">
        <v>201136</v>
      </c>
      <c r="I33" s="55">
        <f t="shared" si="0"/>
        <v>201136</v>
      </c>
      <c r="J33" s="33">
        <v>720</v>
      </c>
      <c r="K33" s="14">
        <f t="shared" si="1"/>
        <v>279.35555555555555</v>
      </c>
      <c r="M33" s="49"/>
      <c r="N33" s="49">
        <v>0</v>
      </c>
    </row>
    <row r="34" spans="2:14">
      <c r="B34" s="2">
        <f>YEAR(EDATE(DATE(2017,10,1),ROWS($A$2:A33)-1))</f>
        <v>2020</v>
      </c>
      <c r="C34" s="2" t="str">
        <f>PROPER(TEXT(EDATE(DATE(2019,10,1),ROWS($B$2:B33)-1),"mmm"))</f>
        <v>May</v>
      </c>
      <c r="F34" s="12" t="s">
        <v>45</v>
      </c>
      <c r="G34" s="3">
        <v>1</v>
      </c>
      <c r="H34" s="13">
        <v>207000</v>
      </c>
      <c r="I34" s="55">
        <f t="shared" si="0"/>
        <v>207000</v>
      </c>
      <c r="J34" s="33">
        <v>1125</v>
      </c>
      <c r="K34" s="14">
        <f t="shared" si="1"/>
        <v>184</v>
      </c>
      <c r="M34" s="49"/>
      <c r="N34" s="49">
        <v>0</v>
      </c>
    </row>
    <row r="35" spans="2:14">
      <c r="B35" s="2">
        <f>YEAR(EDATE(DATE(2017,10,1),ROWS($A$2:A34)-1))</f>
        <v>2020</v>
      </c>
      <c r="C35" s="2" t="str">
        <f>PROPER(TEXT(EDATE(DATE(2019,10,1),ROWS($B$2:B34)-1),"mmm"))</f>
        <v>Jun</v>
      </c>
      <c r="F35" s="12" t="s">
        <v>45</v>
      </c>
      <c r="G35" s="3">
        <v>1</v>
      </c>
      <c r="H35" s="13">
        <v>206000</v>
      </c>
      <c r="I35" s="55">
        <f t="shared" ref="I35:I66" si="2">G35*H35</f>
        <v>206000</v>
      </c>
      <c r="J35" s="33">
        <v>1913</v>
      </c>
      <c r="K35" s="14">
        <f t="shared" si="1"/>
        <v>107.6842655514898</v>
      </c>
      <c r="M35" s="49"/>
      <c r="N35" s="49">
        <v>0</v>
      </c>
    </row>
    <row r="36" spans="2:14">
      <c r="B36" s="2">
        <f>YEAR(EDATE(DATE(2017,10,1),ROWS($A$2:A35)-1))</f>
        <v>2020</v>
      </c>
      <c r="C36" s="2" t="str">
        <f>PROPER(TEXT(EDATE(DATE(2019,10,1),ROWS($B$2:B35)-1),"mmm"))</f>
        <v>Jul</v>
      </c>
      <c r="F36" s="12" t="s">
        <v>45</v>
      </c>
      <c r="G36" s="3">
        <v>1</v>
      </c>
      <c r="H36" s="13">
        <v>515000</v>
      </c>
      <c r="I36" s="55">
        <f t="shared" si="2"/>
        <v>515000</v>
      </c>
      <c r="J36" s="33">
        <v>3550</v>
      </c>
      <c r="K36" s="14">
        <f t="shared" si="1"/>
        <v>145.07042253521126</v>
      </c>
      <c r="M36" s="49"/>
      <c r="N36" s="49">
        <v>0</v>
      </c>
    </row>
    <row r="37" spans="2:14">
      <c r="B37" s="2">
        <f>YEAR(EDATE(DATE(2017,10,1),ROWS($A$2:A36)-1))</f>
        <v>2020</v>
      </c>
      <c r="C37" s="2" t="str">
        <f>PROPER(TEXT(EDATE(DATE(2019,10,1),ROWS($B$2:B36)-1),"mmm"))</f>
        <v>Aug</v>
      </c>
      <c r="F37" s="12" t="s">
        <v>45</v>
      </c>
      <c r="G37" s="3">
        <v>1</v>
      </c>
      <c r="H37" s="13">
        <v>382068.00000000384</v>
      </c>
      <c r="I37" s="55">
        <f t="shared" si="2"/>
        <v>382068.00000000384</v>
      </c>
      <c r="J37" s="33">
        <v>3152</v>
      </c>
      <c r="K37" s="14">
        <f t="shared" si="1"/>
        <v>121.21446700507737</v>
      </c>
      <c r="M37" s="49"/>
      <c r="N37" s="49">
        <v>0</v>
      </c>
    </row>
    <row r="38" spans="2:14">
      <c r="B38" s="2">
        <f>YEAR(EDATE(DATE(2017,10,1),ROWS($A$2:A37)-1))</f>
        <v>2020</v>
      </c>
      <c r="C38" s="2" t="str">
        <f>PROPER(TEXT(EDATE(DATE(2019,10,1),ROWS($B$2:B37)-1),"mmm"))</f>
        <v>Sep</v>
      </c>
      <c r="F38" s="12" t="s">
        <v>45</v>
      </c>
      <c r="G38" s="3">
        <v>1</v>
      </c>
      <c r="H38" s="13">
        <v>443559.99999999796</v>
      </c>
      <c r="I38" s="55">
        <f t="shared" si="2"/>
        <v>443559.99999999796</v>
      </c>
      <c r="J38" s="33">
        <v>3246</v>
      </c>
      <c r="K38" s="14">
        <f t="shared" si="1"/>
        <v>136.64818237831113</v>
      </c>
      <c r="M38" s="49"/>
      <c r="N38" s="49">
        <v>0</v>
      </c>
    </row>
    <row r="39" spans="2:14">
      <c r="B39" s="2">
        <f>YEAR(EDATE(DATE(2017,10,1),ROWS($A$2:A38)-1))</f>
        <v>2020</v>
      </c>
      <c r="C39" s="2" t="str">
        <f>PROPER(TEXT(EDATE(DATE(2019,10,1),ROWS($B$2:B38)-1),"mmm"))</f>
        <v>Oct</v>
      </c>
      <c r="F39" s="12" t="s">
        <v>45</v>
      </c>
      <c r="G39" s="3">
        <v>1</v>
      </c>
      <c r="H39" s="13">
        <v>432312.00000000314</v>
      </c>
      <c r="I39" s="55">
        <f t="shared" si="2"/>
        <v>432312.00000000314</v>
      </c>
      <c r="J39" s="33">
        <v>3048</v>
      </c>
      <c r="K39" s="14">
        <f t="shared" si="1"/>
        <v>141.83464566929237</v>
      </c>
      <c r="M39" s="49"/>
      <c r="N39" s="49">
        <v>0</v>
      </c>
    </row>
    <row r="40" spans="2:14">
      <c r="B40" s="2">
        <f>YEAR(EDATE(DATE(2017,10,1),ROWS($A$2:A39)-1))</f>
        <v>2020</v>
      </c>
      <c r="C40" s="2" t="str">
        <f>PROPER(TEXT(EDATE(DATE(2019,10,1),ROWS($B$2:B39)-1),"mmm"))</f>
        <v>Nov</v>
      </c>
      <c r="F40" s="12" t="s">
        <v>45</v>
      </c>
      <c r="G40" s="3">
        <v>1</v>
      </c>
      <c r="H40" s="13">
        <v>432771.99999999994</v>
      </c>
      <c r="I40" s="55">
        <f t="shared" si="2"/>
        <v>432771.99999999994</v>
      </c>
      <c r="J40" s="33">
        <v>3020</v>
      </c>
      <c r="K40" s="14">
        <f t="shared" si="1"/>
        <v>143.30198675496686</v>
      </c>
      <c r="M40" s="49"/>
      <c r="N40" s="49">
        <v>0</v>
      </c>
    </row>
    <row r="41" spans="2:14">
      <c r="B41" s="2">
        <f>YEAR(EDATE(DATE(2017,10,1),ROWS($A$2:A40)-1))</f>
        <v>2020</v>
      </c>
      <c r="C41" s="2" t="str">
        <f>PROPER(TEXT(EDATE(DATE(2019,10,1),ROWS($B$2:B40)-1),"mmm"))</f>
        <v>Dec</v>
      </c>
      <c r="F41" s="12" t="s">
        <v>45</v>
      </c>
      <c r="G41" s="3">
        <v>1</v>
      </c>
      <c r="H41" s="13">
        <v>367530</v>
      </c>
      <c r="I41" s="55">
        <f t="shared" si="2"/>
        <v>367530</v>
      </c>
      <c r="J41" s="33">
        <v>2543</v>
      </c>
      <c r="K41" s="14">
        <f t="shared" si="1"/>
        <v>144.52615021627997</v>
      </c>
      <c r="M41" s="49"/>
      <c r="N41" s="49">
        <v>0</v>
      </c>
    </row>
    <row r="42" spans="2:14">
      <c r="B42" s="2">
        <f>YEAR(EDATE(DATE(2017,10,1),ROWS($A$2:A41)-1))</f>
        <v>2021</v>
      </c>
      <c r="C42" s="2" t="str">
        <f>PROPER(TEXT(EDATE(DATE(2019,10,1),ROWS($B$2:B41)-1),"mmm"))</f>
        <v>Jan</v>
      </c>
      <c r="F42" s="12" t="s">
        <v>45</v>
      </c>
      <c r="G42" s="3">
        <v>1</v>
      </c>
      <c r="H42" s="13">
        <v>380240</v>
      </c>
      <c r="I42" s="55">
        <f t="shared" si="2"/>
        <v>380240</v>
      </c>
      <c r="J42" s="33">
        <v>2974.2919999999999</v>
      </c>
      <c r="K42" s="14">
        <f t="shared" si="1"/>
        <v>127.84218899825572</v>
      </c>
      <c r="M42" s="49"/>
      <c r="N42" s="49">
        <v>0</v>
      </c>
    </row>
    <row r="43" spans="2:14">
      <c r="B43" s="2">
        <f>YEAR(EDATE(DATE(2017,10,1),ROWS($A$2:A42)-1))</f>
        <v>2021</v>
      </c>
      <c r="C43" s="2" t="str">
        <f>PROPER(TEXT(EDATE(DATE(2019,10,1),ROWS($B$2:B42)-1),"mmm"))</f>
        <v>Feb</v>
      </c>
      <c r="F43" s="12" t="s">
        <v>45</v>
      </c>
      <c r="G43" s="3">
        <v>1</v>
      </c>
      <c r="H43" s="13">
        <v>399372</v>
      </c>
      <c r="I43" s="55">
        <f t="shared" si="2"/>
        <v>399372</v>
      </c>
      <c r="J43" s="33">
        <v>2814.9250000000002</v>
      </c>
      <c r="K43" s="14">
        <f t="shared" si="1"/>
        <v>141.87660417240247</v>
      </c>
      <c r="M43" s="49"/>
      <c r="N43" s="49">
        <v>0</v>
      </c>
    </row>
    <row r="44" spans="2:14">
      <c r="B44" s="2">
        <f>YEAR(EDATE(DATE(2017,10,1),ROWS($A$2:A43)-1))</f>
        <v>2021</v>
      </c>
      <c r="C44" s="2" t="str">
        <f>PROPER(TEXT(EDATE(DATE(2019,10,1),ROWS($B$2:B43)-1),"mmm"))</f>
        <v>Mar</v>
      </c>
      <c r="F44" s="12" t="s">
        <v>45</v>
      </c>
      <c r="G44" s="3">
        <v>1</v>
      </c>
      <c r="H44" s="13">
        <v>380384</v>
      </c>
      <c r="I44" s="55">
        <f t="shared" si="2"/>
        <v>380384</v>
      </c>
      <c r="J44" s="33">
        <v>3033.8229999999999</v>
      </c>
      <c r="K44" s="14">
        <f t="shared" si="1"/>
        <v>125.38107859291726</v>
      </c>
      <c r="M44" s="49"/>
      <c r="N44" s="49">
        <v>0</v>
      </c>
    </row>
    <row r="45" spans="2:14">
      <c r="B45" s="2">
        <f>YEAR(EDATE(DATE(2017,10,1),ROWS($A$2:A44)-1))</f>
        <v>2021</v>
      </c>
      <c r="C45" s="2" t="str">
        <f>PROPER(TEXT(EDATE(DATE(2019,10,1),ROWS($B$2:B44)-1),"mmm"))</f>
        <v>Apr</v>
      </c>
      <c r="F45" s="12" t="s">
        <v>45</v>
      </c>
      <c r="G45" s="3">
        <v>1</v>
      </c>
      <c r="H45" s="13">
        <v>343602</v>
      </c>
      <c r="I45" s="55">
        <f t="shared" si="2"/>
        <v>343602</v>
      </c>
      <c r="J45" s="33">
        <v>2407.9969999999998</v>
      </c>
      <c r="K45" s="14">
        <f t="shared" si="1"/>
        <v>142.69203823758917</v>
      </c>
      <c r="M45" s="49"/>
      <c r="N45" s="49">
        <v>0</v>
      </c>
    </row>
    <row r="46" spans="2:14">
      <c r="B46" s="2">
        <f>YEAR(EDATE(DATE(2017,10,1),ROWS($A$2:A45)-1))</f>
        <v>2021</v>
      </c>
      <c r="C46" s="2" t="str">
        <f>PROPER(TEXT(EDATE(DATE(2019,10,1),ROWS($B$2:B45)-1),"mmm"))</f>
        <v>May</v>
      </c>
      <c r="F46" s="12" t="s">
        <v>45</v>
      </c>
      <c r="G46" s="3">
        <v>1</v>
      </c>
      <c r="H46" s="13">
        <v>105079</v>
      </c>
      <c r="I46" s="55">
        <f t="shared" si="2"/>
        <v>105079</v>
      </c>
      <c r="J46" s="33">
        <v>559.79999999999995</v>
      </c>
      <c r="K46" s="14">
        <f t="shared" si="1"/>
        <v>187.70811003929975</v>
      </c>
      <c r="M46" s="49"/>
      <c r="N46" s="49">
        <v>0</v>
      </c>
    </row>
    <row r="47" spans="2:14">
      <c r="B47" s="2">
        <f>YEAR(EDATE(DATE(2017,10,1),ROWS($A$2:A46)-1))</f>
        <v>2021</v>
      </c>
      <c r="C47" s="2" t="str">
        <f>PROPER(TEXT(EDATE(DATE(2019,10,1),ROWS($B$2:B46)-1),"mmm"))</f>
        <v>Jun</v>
      </c>
      <c r="F47" s="12" t="s">
        <v>45</v>
      </c>
      <c r="G47" s="3">
        <v>1</v>
      </c>
      <c r="H47" s="13">
        <v>365588</v>
      </c>
      <c r="I47" s="55">
        <f t="shared" si="2"/>
        <v>365588</v>
      </c>
      <c r="J47" s="33">
        <v>2015.19</v>
      </c>
      <c r="K47" s="14">
        <f t="shared" si="1"/>
        <v>181.41614438340801</v>
      </c>
      <c r="M47" s="49"/>
      <c r="N47" s="49">
        <v>0</v>
      </c>
    </row>
    <row r="48" spans="2:14">
      <c r="B48" s="2">
        <f>YEAR(EDATE(DATE(2017,10,1),ROWS($A$2:A47)-1))</f>
        <v>2021</v>
      </c>
      <c r="C48" s="2" t="str">
        <f>PROPER(TEXT(EDATE(DATE(2019,10,1),ROWS($B$2:B47)-1),"mmm"))</f>
        <v>Jul</v>
      </c>
      <c r="F48" s="12" t="s">
        <v>45</v>
      </c>
      <c r="G48" s="3">
        <v>1</v>
      </c>
      <c r="H48" s="13">
        <v>391392</v>
      </c>
      <c r="I48" s="55">
        <f t="shared" si="2"/>
        <v>391392</v>
      </c>
      <c r="J48" s="33">
        <v>2712</v>
      </c>
      <c r="K48" s="14">
        <f t="shared" si="1"/>
        <v>144.31858407079645</v>
      </c>
      <c r="M48" s="49"/>
      <c r="N48" s="49">
        <v>0</v>
      </c>
    </row>
    <row r="49" spans="2:14">
      <c r="B49" s="2">
        <f>YEAR(EDATE(DATE(2017,10,1),ROWS($A$2:A48)-1))</f>
        <v>2021</v>
      </c>
      <c r="C49" s="2" t="str">
        <f>PROPER(TEXT(EDATE(DATE(2019,10,1),ROWS($B$2:B48)-1),"mmm"))</f>
        <v>Aug</v>
      </c>
      <c r="F49" s="12" t="s">
        <v>45</v>
      </c>
      <c r="G49" s="3">
        <v>1</v>
      </c>
      <c r="H49" s="13">
        <v>380115</v>
      </c>
      <c r="I49" s="55">
        <f t="shared" si="2"/>
        <v>380115</v>
      </c>
      <c r="J49" s="33">
        <v>2658</v>
      </c>
      <c r="K49" s="14">
        <f t="shared" si="1"/>
        <v>143.00790067720089</v>
      </c>
      <c r="M49" s="49"/>
      <c r="N49" s="49">
        <v>0</v>
      </c>
    </row>
    <row r="50" spans="2:14">
      <c r="B50" s="2">
        <f>YEAR(EDATE(DATE(2017,10,1),ROWS($A$2:A49)-1))</f>
        <v>2021</v>
      </c>
      <c r="C50" s="2" t="str">
        <f>PROPER(TEXT(EDATE(DATE(2019,10,1),ROWS($B$2:B49)-1),"mmm"))</f>
        <v>Sep</v>
      </c>
      <c r="F50" s="12" t="s">
        <v>45</v>
      </c>
      <c r="G50" s="3">
        <v>1</v>
      </c>
      <c r="H50" s="13">
        <v>414624</v>
      </c>
      <c r="I50" s="55">
        <f t="shared" si="2"/>
        <v>414624</v>
      </c>
      <c r="J50" s="33">
        <v>2596</v>
      </c>
      <c r="K50" s="14">
        <f t="shared" si="1"/>
        <v>159.71648690292758</v>
      </c>
      <c r="M50" s="49"/>
      <c r="N50" s="49">
        <v>0</v>
      </c>
    </row>
    <row r="51" spans="2:14">
      <c r="B51" s="2">
        <f>YEAR(EDATE(DATE(2017,10,1),ROWS($A$2:A50)-1))</f>
        <v>2021</v>
      </c>
      <c r="C51" s="2" t="str">
        <f>PROPER(TEXT(EDATE(DATE(2019,10,1),ROWS($B$2:B50)-1),"mmm"))</f>
        <v>Oct</v>
      </c>
      <c r="F51" s="12" t="s">
        <v>45</v>
      </c>
      <c r="G51" s="3">
        <v>1</v>
      </c>
      <c r="H51" s="13">
        <v>381051</v>
      </c>
      <c r="I51" s="55">
        <f t="shared" si="2"/>
        <v>381051</v>
      </c>
      <c r="J51" s="33">
        <v>2838</v>
      </c>
      <c r="K51" s="14">
        <f t="shared" si="1"/>
        <v>134.26744186046511</v>
      </c>
      <c r="M51" s="49"/>
      <c r="N51" s="49">
        <v>0</v>
      </c>
    </row>
    <row r="52" spans="2:14">
      <c r="B52" s="2">
        <f>YEAR(EDATE(DATE(2017,10,1),ROWS($A$2:A51)-1))</f>
        <v>2021</v>
      </c>
      <c r="C52" s="2" t="str">
        <f>PROPER(TEXT(EDATE(DATE(2019,10,1),ROWS($B$2:B51)-1),"mmm"))</f>
        <v>Nov</v>
      </c>
      <c r="F52" s="12" t="s">
        <v>45</v>
      </c>
      <c r="G52" s="3">
        <v>1</v>
      </c>
      <c r="H52" s="13">
        <v>500118</v>
      </c>
      <c r="I52" s="55">
        <f t="shared" si="2"/>
        <v>500118</v>
      </c>
      <c r="J52" s="33">
        <v>3149</v>
      </c>
      <c r="K52" s="14">
        <f t="shared" si="1"/>
        <v>158.8180374722134</v>
      </c>
      <c r="M52" s="49"/>
      <c r="N52" s="49">
        <v>0</v>
      </c>
    </row>
    <row r="53" spans="2:14">
      <c r="B53" s="2">
        <f>YEAR(EDATE(DATE(2017,10,1),ROWS($A$2:A52)-1))</f>
        <v>2021</v>
      </c>
      <c r="C53" s="2" t="str">
        <f>PROPER(TEXT(EDATE(DATE(2019,10,1),ROWS($B$2:B52)-1),"mmm"))</f>
        <v>Dec</v>
      </c>
      <c r="F53" s="12" t="s">
        <v>45</v>
      </c>
      <c r="G53" s="3">
        <v>1</v>
      </c>
      <c r="H53" s="13">
        <v>394367</v>
      </c>
      <c r="I53" s="55">
        <f t="shared" si="2"/>
        <v>394367</v>
      </c>
      <c r="J53" s="33">
        <v>2730.5</v>
      </c>
      <c r="K53" s="14">
        <f t="shared" si="1"/>
        <v>144.43032411646217</v>
      </c>
      <c r="M53" s="49"/>
      <c r="N53" s="49">
        <v>0</v>
      </c>
    </row>
    <row r="54" spans="2:14">
      <c r="B54" s="2">
        <f>YEAR(EDATE(DATE(2017,10,1),ROWS($A$2:A53)-1))</f>
        <v>2022</v>
      </c>
      <c r="C54" s="2" t="str">
        <f>PROPER(TEXT(EDATE(DATE(2019,10,1),ROWS($B$2:B53)-1),"mmm"))</f>
        <v>Jan</v>
      </c>
      <c r="F54" s="12" t="s">
        <v>45</v>
      </c>
      <c r="G54" s="3">
        <v>1</v>
      </c>
      <c r="H54" s="13">
        <v>389960</v>
      </c>
      <c r="I54" s="55">
        <f t="shared" si="2"/>
        <v>389960</v>
      </c>
      <c r="J54" s="33">
        <v>2020</v>
      </c>
      <c r="K54" s="14">
        <f t="shared" si="1"/>
        <v>193.04950495049505</v>
      </c>
      <c r="M54" s="49"/>
      <c r="N54" s="49">
        <v>0</v>
      </c>
    </row>
    <row r="55" spans="2:14">
      <c r="B55" s="2">
        <f>YEAR(EDATE(DATE(2017,10,1),ROWS($A$2:A54)-1))</f>
        <v>2022</v>
      </c>
      <c r="C55" s="2" t="str">
        <f>PROPER(TEXT(EDATE(DATE(2019,10,1),ROWS($B$2:B54)-1),"mmm"))</f>
        <v>Feb</v>
      </c>
      <c r="F55" s="12" t="s">
        <v>45</v>
      </c>
      <c r="G55" s="3">
        <v>1</v>
      </c>
      <c r="H55" s="13">
        <v>422291</v>
      </c>
      <c r="I55" s="55">
        <f t="shared" si="2"/>
        <v>422291</v>
      </c>
      <c r="J55" s="33">
        <v>2615</v>
      </c>
      <c r="K55" s="14">
        <f t="shared" si="1"/>
        <v>161.48795411089867</v>
      </c>
      <c r="M55" s="49"/>
      <c r="N55" s="49">
        <v>0</v>
      </c>
    </row>
    <row r="56" spans="2:14">
      <c r="B56" s="2">
        <f>YEAR(EDATE(DATE(2017,10,1),ROWS($A$2:A55)-1))</f>
        <v>2022</v>
      </c>
      <c r="C56" s="2" t="str">
        <f>PROPER(TEXT(EDATE(DATE(2019,10,1),ROWS($B$2:B55)-1),"mmm"))</f>
        <v>Mar</v>
      </c>
      <c r="F56" s="12" t="s">
        <v>45</v>
      </c>
      <c r="G56" s="3">
        <v>1</v>
      </c>
      <c r="H56" s="13">
        <v>474162</v>
      </c>
      <c r="I56" s="55">
        <f t="shared" si="2"/>
        <v>474162</v>
      </c>
      <c r="J56" s="33">
        <v>3116</v>
      </c>
      <c r="K56" s="14">
        <f t="shared" si="1"/>
        <v>152.17008985879332</v>
      </c>
      <c r="M56" s="49"/>
      <c r="N56" s="49">
        <v>0</v>
      </c>
    </row>
    <row r="57" spans="2:14">
      <c r="B57" s="2">
        <f>YEAR(EDATE(DATE(2017,10,1),ROWS($A$2:A56)-1))</f>
        <v>2022</v>
      </c>
      <c r="C57" s="2" t="str">
        <f>PROPER(TEXT(EDATE(DATE(2019,10,1),ROWS($B$2:B56)-1),"mmm"))</f>
        <v>Apr</v>
      </c>
      <c r="F57" s="12" t="s">
        <v>45</v>
      </c>
      <c r="G57" s="3">
        <v>1</v>
      </c>
      <c r="H57" s="13">
        <v>445958</v>
      </c>
      <c r="I57" s="55">
        <f t="shared" si="2"/>
        <v>445958</v>
      </c>
      <c r="J57" s="33">
        <v>2979</v>
      </c>
      <c r="K57" s="14">
        <f t="shared" si="1"/>
        <v>149.70057066129573</v>
      </c>
      <c r="M57" s="49"/>
      <c r="N57" s="49">
        <v>0</v>
      </c>
    </row>
    <row r="58" spans="2:14">
      <c r="B58" s="2">
        <f>YEAR(EDATE(DATE(2017,10,1),ROWS($A$2:A57)-1))</f>
        <v>2022</v>
      </c>
      <c r="C58" s="2" t="str">
        <f>PROPER(TEXT(EDATE(DATE(2019,10,1),ROWS($B$2:B57)-1),"mmm"))</f>
        <v>May</v>
      </c>
      <c r="F58" s="12" t="s">
        <v>45</v>
      </c>
      <c r="G58" s="3">
        <v>1</v>
      </c>
      <c r="H58" s="13">
        <v>388236</v>
      </c>
      <c r="I58" s="55">
        <f t="shared" si="2"/>
        <v>388236</v>
      </c>
      <c r="J58" s="33">
        <v>2396</v>
      </c>
      <c r="K58" s="14">
        <f t="shared" si="1"/>
        <v>162.03505843071787</v>
      </c>
      <c r="M58" s="49"/>
      <c r="N58" s="49">
        <v>0</v>
      </c>
    </row>
    <row r="59" spans="2:14">
      <c r="B59" s="2">
        <f>YEAR(EDATE(DATE(2017,10,1),ROWS($A$2:A58)-1))</f>
        <v>2022</v>
      </c>
      <c r="C59" s="2" t="str">
        <f>PROPER(TEXT(EDATE(DATE(2019,10,1),ROWS($B$2:B58)-1),"mmm"))</f>
        <v>Jun</v>
      </c>
      <c r="F59" s="12" t="s">
        <v>45</v>
      </c>
      <c r="G59" s="3">
        <v>1</v>
      </c>
      <c r="H59" s="13">
        <v>449406</v>
      </c>
      <c r="I59" s="55">
        <f t="shared" si="2"/>
        <v>449406</v>
      </c>
      <c r="J59" s="33">
        <v>2980</v>
      </c>
      <c r="K59" s="14">
        <f t="shared" si="1"/>
        <v>150.80738255033557</v>
      </c>
      <c r="M59" s="49"/>
      <c r="N59" s="49">
        <v>0</v>
      </c>
    </row>
    <row r="60" spans="2:14">
      <c r="B60" s="2">
        <f>YEAR(EDATE(DATE(2017,10,1),ROWS($A$2:A59)-1))</f>
        <v>2022</v>
      </c>
      <c r="C60" s="2" t="str">
        <f>PROPER(TEXT(EDATE(DATE(2019,10,1),ROWS($B$2:B59)-1),"mmm"))</f>
        <v>Jul</v>
      </c>
      <c r="F60" s="12" t="s">
        <v>45</v>
      </c>
      <c r="G60" s="3">
        <v>1</v>
      </c>
      <c r="H60" s="13">
        <v>463746</v>
      </c>
      <c r="I60" s="55">
        <f t="shared" si="2"/>
        <v>463746</v>
      </c>
      <c r="J60" s="33">
        <v>2780</v>
      </c>
      <c r="K60" s="14">
        <f t="shared" si="1"/>
        <v>166.81510791366907</v>
      </c>
      <c r="M60" s="49"/>
      <c r="N60" s="49">
        <v>0</v>
      </c>
    </row>
    <row r="61" spans="2:14">
      <c r="B61" s="2">
        <f>YEAR(EDATE(DATE(2017,10,1),ROWS($A$2:A60)-1))</f>
        <v>2022</v>
      </c>
      <c r="C61" s="2" t="str">
        <f>PROPER(TEXT(EDATE(DATE(2019,10,1),ROWS($B$2:B60)-1),"mmm"))</f>
        <v>Aug</v>
      </c>
      <c r="F61" s="12" t="s">
        <v>45</v>
      </c>
      <c r="G61" s="3">
        <v>1</v>
      </c>
      <c r="H61" s="13">
        <v>375202</v>
      </c>
      <c r="I61" s="55">
        <f t="shared" si="2"/>
        <v>375202</v>
      </c>
      <c r="J61" s="33">
        <v>2338</v>
      </c>
      <c r="K61" s="14">
        <f t="shared" si="1"/>
        <v>160.47989734816082</v>
      </c>
      <c r="M61" s="49"/>
      <c r="N61" s="49">
        <v>0</v>
      </c>
    </row>
    <row r="62" spans="2:14">
      <c r="B62" s="2">
        <f>YEAR(EDATE(DATE(2017,10,1),ROWS($A$2:A61)-1))</f>
        <v>2022</v>
      </c>
      <c r="C62" s="2" t="str">
        <f>PROPER(TEXT(EDATE(DATE(2019,10,1),ROWS($B$2:B61)-1),"mmm"))</f>
        <v>Sep</v>
      </c>
      <c r="F62" s="12" t="s">
        <v>45</v>
      </c>
      <c r="G62" s="3">
        <v>1</v>
      </c>
      <c r="H62" s="13">
        <v>449928</v>
      </c>
      <c r="I62" s="55">
        <f t="shared" si="2"/>
        <v>449928</v>
      </c>
      <c r="J62" s="33">
        <v>2830</v>
      </c>
      <c r="K62" s="14">
        <f t="shared" si="1"/>
        <v>158.98515901060071</v>
      </c>
      <c r="M62" s="49"/>
      <c r="N62" s="49">
        <v>0</v>
      </c>
    </row>
    <row r="63" spans="2:14">
      <c r="B63" s="2">
        <f>YEAR(EDATE(DATE(2017,10,1),ROWS($A$2:A62)-1))</f>
        <v>2022</v>
      </c>
      <c r="C63" s="2" t="str">
        <f>PROPER(TEXT(EDATE(DATE(2019,10,1),ROWS($B$2:B62)-1),"mmm"))</f>
        <v>Oct</v>
      </c>
      <c r="F63" s="12" t="s">
        <v>45</v>
      </c>
      <c r="G63" s="3">
        <v>1</v>
      </c>
      <c r="H63" s="13">
        <v>363065</v>
      </c>
      <c r="I63" s="55">
        <f t="shared" si="2"/>
        <v>363065</v>
      </c>
      <c r="J63" s="33">
        <v>1688</v>
      </c>
      <c r="K63" s="14">
        <f t="shared" si="1"/>
        <v>215.08590047393366</v>
      </c>
      <c r="M63" s="49"/>
      <c r="N63" s="49">
        <v>0</v>
      </c>
    </row>
    <row r="64" spans="2:14">
      <c r="B64" s="2">
        <f>YEAR(EDATE(DATE(2017,10,1),ROWS($A$2:A63)-1))</f>
        <v>2022</v>
      </c>
      <c r="C64" s="2" t="str">
        <f>PROPER(TEXT(EDATE(DATE(2019,10,1),ROWS($B$2:B63)-1),"mmm"))</f>
        <v>Nov</v>
      </c>
      <c r="F64" s="12" t="s">
        <v>45</v>
      </c>
      <c r="G64" s="3">
        <v>1</v>
      </c>
      <c r="H64" s="13">
        <v>482944</v>
      </c>
      <c r="I64" s="55">
        <f t="shared" si="2"/>
        <v>482944</v>
      </c>
      <c r="J64" s="33">
        <v>2471</v>
      </c>
      <c r="K64" s="14">
        <f t="shared" si="1"/>
        <v>195.44475920679886</v>
      </c>
      <c r="M64" s="49"/>
      <c r="N64" s="49">
        <v>0</v>
      </c>
    </row>
    <row r="65" spans="2:14">
      <c r="B65" s="2">
        <f>YEAR(EDATE(DATE(2017,10,1),ROWS($A$2:A64)-1))</f>
        <v>2022</v>
      </c>
      <c r="C65" s="2" t="str">
        <f>PROPER(TEXT(EDATE(DATE(2019,10,1),ROWS($B$2:B64)-1),"mmm"))</f>
        <v>Dec</v>
      </c>
      <c r="F65" s="12" t="s">
        <v>45</v>
      </c>
      <c r="G65" s="3">
        <v>1</v>
      </c>
      <c r="H65" s="13">
        <v>422955</v>
      </c>
      <c r="I65" s="55">
        <f t="shared" si="2"/>
        <v>422955</v>
      </c>
      <c r="J65" s="33">
        <v>2692</v>
      </c>
      <c r="K65" s="14">
        <f t="shared" si="1"/>
        <v>157.11552748885586</v>
      </c>
      <c r="M65" s="49"/>
      <c r="N65" s="49">
        <v>0</v>
      </c>
    </row>
    <row r="66" spans="2:14">
      <c r="B66" s="2">
        <f>YEAR(EDATE(DATE(2017,10,1),ROWS($A$2:A65)-1))</f>
        <v>2023</v>
      </c>
      <c r="C66" s="2" t="str">
        <f>PROPER(TEXT(EDATE(DATE(2019,10,1),ROWS($B$2:B65)-1),"mmm"))</f>
        <v>Jan</v>
      </c>
      <c r="F66" s="12" t="s">
        <v>45</v>
      </c>
      <c r="G66" s="3">
        <v>1</v>
      </c>
      <c r="H66" s="13">
        <v>442781</v>
      </c>
      <c r="I66" s="55">
        <f t="shared" si="2"/>
        <v>442781</v>
      </c>
      <c r="J66" s="33">
        <v>2912</v>
      </c>
      <c r="K66" s="14">
        <f t="shared" si="1"/>
        <v>152.05391483516485</v>
      </c>
      <c r="M66" s="49"/>
      <c r="N66" s="49">
        <v>0</v>
      </c>
    </row>
    <row r="67" spans="2:14">
      <c r="B67" s="2">
        <f>YEAR(EDATE(DATE(2017,10,1),ROWS($A$2:A66)-1))</f>
        <v>2023</v>
      </c>
      <c r="C67" s="2" t="str">
        <f>PROPER(TEXT(EDATE(DATE(2019,10,1),ROWS($B$2:B66)-1),"mmm"))</f>
        <v>Feb</v>
      </c>
      <c r="F67" s="12" t="s">
        <v>45</v>
      </c>
      <c r="G67" s="3">
        <v>1</v>
      </c>
      <c r="H67" s="13">
        <v>438565</v>
      </c>
      <c r="I67" s="55">
        <f t="shared" ref="I67:I98" si="3">G67*H67</f>
        <v>438565</v>
      </c>
      <c r="J67" s="33">
        <v>2603</v>
      </c>
      <c r="K67" s="14">
        <f t="shared" si="1"/>
        <v>168.48444102958126</v>
      </c>
      <c r="M67" s="49"/>
      <c r="N67" s="49">
        <v>0</v>
      </c>
    </row>
    <row r="68" spans="2:14">
      <c r="B68" s="2">
        <f>YEAR(EDATE(DATE(2017,10,1),ROWS($A$2:A67)-1))</f>
        <v>2023</v>
      </c>
      <c r="C68" s="2" t="str">
        <f>PROPER(TEXT(EDATE(DATE(2019,10,1),ROWS($B$2:B67)-1),"mmm"))</f>
        <v>Mar</v>
      </c>
      <c r="F68" s="12" t="s">
        <v>45</v>
      </c>
      <c r="G68" s="3">
        <v>1</v>
      </c>
      <c r="H68" s="13">
        <v>488648</v>
      </c>
      <c r="I68" s="55">
        <f t="shared" si="3"/>
        <v>488648</v>
      </c>
      <c r="J68" s="33">
        <v>2699</v>
      </c>
      <c r="K68" s="14">
        <f t="shared" ref="K68:K107" si="4">I68/J68</f>
        <v>181.04779547980735</v>
      </c>
      <c r="M68" s="49"/>
      <c r="N68" s="49">
        <v>0</v>
      </c>
    </row>
    <row r="69" spans="2:14">
      <c r="B69" s="2">
        <f>YEAR(EDATE(DATE(2017,10,1),ROWS($A$2:A68)-1))</f>
        <v>2023</v>
      </c>
      <c r="C69" s="2" t="str">
        <f>PROPER(TEXT(EDATE(DATE(2019,10,1),ROWS($B$2:B68)-1),"mmm"))</f>
        <v>Apr</v>
      </c>
      <c r="F69" s="12" t="s">
        <v>45</v>
      </c>
      <c r="G69" s="3">
        <v>1</v>
      </c>
      <c r="H69" s="13">
        <v>487402</v>
      </c>
      <c r="I69" s="55">
        <f t="shared" si="3"/>
        <v>487402</v>
      </c>
      <c r="J69" s="33">
        <v>2280.8000000000002</v>
      </c>
      <c r="K69" s="14">
        <f t="shared" si="4"/>
        <v>213.69782532444754</v>
      </c>
      <c r="M69" s="49"/>
      <c r="N69" s="49">
        <v>0</v>
      </c>
    </row>
    <row r="70" spans="2:14">
      <c r="B70" s="2">
        <f>YEAR(EDATE(DATE(2017,10,1),ROWS($A$2:A69)-1))</f>
        <v>2023</v>
      </c>
      <c r="C70" s="2" t="str">
        <f>PROPER(TEXT(EDATE(DATE(2019,10,1),ROWS($B$2:B69)-1),"mmm"))</f>
        <v>May</v>
      </c>
      <c r="F70" s="12" t="s">
        <v>45</v>
      </c>
      <c r="G70" s="3">
        <v>1</v>
      </c>
      <c r="H70" s="13">
        <v>463437.0289638894</v>
      </c>
      <c r="I70" s="55">
        <f t="shared" si="3"/>
        <v>463437.0289638894</v>
      </c>
      <c r="J70" s="33">
        <v>2223.8665000000001</v>
      </c>
      <c r="K70" s="14">
        <f t="shared" si="4"/>
        <v>208.39246823669018</v>
      </c>
      <c r="M70" s="49"/>
      <c r="N70" s="49">
        <v>0</v>
      </c>
    </row>
    <row r="71" spans="2:14">
      <c r="B71" s="2">
        <f>YEAR(EDATE(DATE(2017,10,1),ROWS($A$2:A70)-1))</f>
        <v>2023</v>
      </c>
      <c r="C71" s="2" t="str">
        <f>PROPER(TEXT(EDATE(DATE(2019,10,1),ROWS($B$2:B70)-1),"mmm"))</f>
        <v>Jun</v>
      </c>
      <c r="F71" s="12" t="s">
        <v>45</v>
      </c>
      <c r="G71" s="3">
        <v>1</v>
      </c>
      <c r="H71" s="13">
        <v>503973</v>
      </c>
      <c r="I71" s="55">
        <f t="shared" si="3"/>
        <v>503973</v>
      </c>
      <c r="J71" s="33">
        <v>2927</v>
      </c>
      <c r="K71" s="14">
        <f t="shared" si="4"/>
        <v>172.18073112401777</v>
      </c>
      <c r="M71" s="49"/>
      <c r="N71" s="49">
        <v>0</v>
      </c>
    </row>
    <row r="72" spans="2:14">
      <c r="B72" s="2">
        <f>YEAR(EDATE(DATE(2017,10,1),ROWS($A$2:A71)-1))</f>
        <v>2023</v>
      </c>
      <c r="C72" s="2" t="str">
        <f>PROPER(TEXT(EDATE(DATE(2019,10,1),ROWS($B$2:B71)-1),"mmm"))</f>
        <v>Jul</v>
      </c>
      <c r="F72" s="12" t="s">
        <v>45</v>
      </c>
      <c r="G72" s="3">
        <v>1</v>
      </c>
      <c r="H72" s="13">
        <v>502758</v>
      </c>
      <c r="I72" s="55">
        <f t="shared" si="3"/>
        <v>502758</v>
      </c>
      <c r="J72" s="33">
        <v>2515</v>
      </c>
      <c r="K72" s="14">
        <f t="shared" si="4"/>
        <v>199.9037773359841</v>
      </c>
      <c r="M72" s="49"/>
      <c r="N72" s="49">
        <v>0</v>
      </c>
    </row>
    <row r="73" spans="2:14">
      <c r="B73" s="2">
        <f>YEAR(EDATE(DATE(2017,10,1),ROWS($A$2:A72)-1))</f>
        <v>2023</v>
      </c>
      <c r="C73" s="2" t="str">
        <f>PROPER(TEXT(EDATE(DATE(2019,10,1),ROWS($B$2:B72)-1),"mmm"))</f>
        <v>Aug</v>
      </c>
      <c r="F73" s="12" t="s">
        <v>45</v>
      </c>
      <c r="G73" s="3">
        <v>1</v>
      </c>
      <c r="H73" s="13">
        <v>425961</v>
      </c>
      <c r="I73" s="55">
        <f t="shared" si="3"/>
        <v>425961</v>
      </c>
      <c r="J73" s="33">
        <v>2131.895</v>
      </c>
      <c r="K73" s="14">
        <f t="shared" si="4"/>
        <v>199.8039303061361</v>
      </c>
      <c r="M73" s="49"/>
      <c r="N73" s="49">
        <v>0</v>
      </c>
    </row>
    <row r="74" spans="2:14">
      <c r="B74" s="2">
        <f>YEAR(EDATE(DATE(2017,10,1),ROWS($A$2:A73)-1))</f>
        <v>2023</v>
      </c>
      <c r="C74" s="2" t="str">
        <f>PROPER(TEXT(EDATE(DATE(2019,10,1),ROWS($B$2:B73)-1),"mmm"))</f>
        <v>Sep</v>
      </c>
      <c r="F74" s="12" t="s">
        <v>45</v>
      </c>
      <c r="G74" s="3">
        <v>1</v>
      </c>
      <c r="H74" s="13">
        <v>419330</v>
      </c>
      <c r="I74" s="55">
        <f t="shared" si="3"/>
        <v>419330</v>
      </c>
      <c r="J74" s="33">
        <v>2190.3069999999998</v>
      </c>
      <c r="K74" s="14">
        <f t="shared" si="4"/>
        <v>191.44804815032779</v>
      </c>
      <c r="M74" s="49"/>
      <c r="N74" s="49">
        <v>0</v>
      </c>
    </row>
    <row r="75" spans="2:14">
      <c r="B75" s="2">
        <f>YEAR(EDATE(DATE(2017,10,1),ROWS($A$2:A74)-1))</f>
        <v>2023</v>
      </c>
      <c r="C75" s="2" t="str">
        <f>PROPER(TEXT(EDATE(DATE(2019,10,1),ROWS($B$2:B74)-1),"mmm"))</f>
        <v>Oct</v>
      </c>
      <c r="F75" s="12" t="s">
        <v>45</v>
      </c>
      <c r="G75" s="3">
        <v>1</v>
      </c>
      <c r="H75" s="13">
        <v>453170</v>
      </c>
      <c r="I75" s="55">
        <f t="shared" si="3"/>
        <v>453170</v>
      </c>
      <c r="J75" s="33">
        <v>2676</v>
      </c>
      <c r="K75" s="14">
        <f t="shared" si="4"/>
        <v>169.34603886397608</v>
      </c>
      <c r="M75" s="49"/>
      <c r="N75" s="49">
        <v>0</v>
      </c>
    </row>
    <row r="76" spans="2:14">
      <c r="B76" s="2">
        <f>YEAR(EDATE(DATE(2017,10,1),ROWS($A$2:A75)-1))</f>
        <v>2023</v>
      </c>
      <c r="C76" s="2" t="str">
        <f>PROPER(TEXT(EDATE(DATE(2019,10,1),ROWS($B$2:B75)-1),"mmm"))</f>
        <v>Nov</v>
      </c>
      <c r="F76" s="12" t="s">
        <v>45</v>
      </c>
      <c r="G76" s="3">
        <v>1</v>
      </c>
      <c r="H76" s="13">
        <v>516791</v>
      </c>
      <c r="I76" s="55">
        <f t="shared" si="3"/>
        <v>516791</v>
      </c>
      <c r="J76" s="33">
        <v>2558</v>
      </c>
      <c r="K76" s="14">
        <f t="shared" si="4"/>
        <v>202.02931978107898</v>
      </c>
      <c r="M76" s="49"/>
      <c r="N76" s="49">
        <v>0</v>
      </c>
    </row>
    <row r="77" spans="2:14">
      <c r="B77" s="2">
        <f>YEAR(EDATE(DATE(2017,10,1),ROWS($A$2:A76)-1))</f>
        <v>2023</v>
      </c>
      <c r="C77" s="2" t="str">
        <f>PROPER(TEXT(EDATE(DATE(2019,10,1),ROWS($B$2:B76)-1),"mmm"))</f>
        <v>Dec</v>
      </c>
      <c r="F77" s="12" t="s">
        <v>45</v>
      </c>
      <c r="G77" s="3">
        <v>1</v>
      </c>
      <c r="H77" s="13">
        <v>502619</v>
      </c>
      <c r="I77" s="55">
        <f t="shared" si="3"/>
        <v>502619</v>
      </c>
      <c r="J77" s="33">
        <v>2484</v>
      </c>
      <c r="K77" s="14">
        <f t="shared" si="4"/>
        <v>202.34259259259258</v>
      </c>
      <c r="M77" s="49"/>
      <c r="N77" s="49">
        <v>0</v>
      </c>
    </row>
    <row r="78" spans="2:14">
      <c r="B78" s="2">
        <f>YEAR(EDATE(DATE(2017,10,1),ROWS($A$2:A77)-1))</f>
        <v>2024</v>
      </c>
      <c r="C78" s="2" t="str">
        <f>PROPER(TEXT(EDATE(DATE(2019,10,1),ROWS($B$2:B77)-1),"mmm"))</f>
        <v>Jan</v>
      </c>
      <c r="F78" s="12" t="s">
        <v>45</v>
      </c>
      <c r="G78" s="3">
        <v>1</v>
      </c>
      <c r="H78" s="13">
        <v>482834</v>
      </c>
      <c r="I78" s="55">
        <f t="shared" si="3"/>
        <v>482834</v>
      </c>
      <c r="J78" s="33">
        <v>2489</v>
      </c>
      <c r="K78" s="14">
        <f t="shared" si="4"/>
        <v>193.98714343109683</v>
      </c>
      <c r="M78" s="49"/>
      <c r="N78" s="49">
        <v>0</v>
      </c>
    </row>
    <row r="79" spans="2:14">
      <c r="B79" s="2">
        <f>YEAR(EDATE(DATE(2017,10,1),ROWS($A$2:A78)-1))</f>
        <v>2024</v>
      </c>
      <c r="C79" s="2" t="str">
        <f>PROPER(TEXT(EDATE(DATE(2019,10,1),ROWS($B$2:B78)-1),"mmm"))</f>
        <v>Feb</v>
      </c>
      <c r="F79" s="12" t="s">
        <v>45</v>
      </c>
      <c r="G79" s="3">
        <v>1</v>
      </c>
      <c r="H79" s="13">
        <v>515231.3</v>
      </c>
      <c r="I79" s="55">
        <f t="shared" si="3"/>
        <v>515231.3</v>
      </c>
      <c r="J79" s="33">
        <v>2648</v>
      </c>
      <c r="K79" s="14">
        <f t="shared" si="4"/>
        <v>194.57375377643504</v>
      </c>
      <c r="M79" s="49"/>
      <c r="N79" s="49">
        <v>0</v>
      </c>
    </row>
    <row r="80" spans="2:14">
      <c r="B80" s="2">
        <f>YEAR(EDATE(DATE(2017,10,1),ROWS($A$2:A79)-1))</f>
        <v>2024</v>
      </c>
      <c r="C80" s="2" t="str">
        <f>PROPER(TEXT(EDATE(DATE(2019,10,1),ROWS($B$2:B79)-1),"mmm"))</f>
        <v>Mar</v>
      </c>
      <c r="F80" s="12" t="s">
        <v>45</v>
      </c>
      <c r="G80" s="3">
        <v>1</v>
      </c>
      <c r="H80" s="13">
        <v>559556</v>
      </c>
      <c r="I80" s="55">
        <f t="shared" si="3"/>
        <v>559556</v>
      </c>
      <c r="J80" s="33">
        <v>2475</v>
      </c>
      <c r="K80" s="14">
        <f t="shared" si="4"/>
        <v>226.08323232323232</v>
      </c>
      <c r="M80" s="49"/>
      <c r="N80" s="49">
        <v>0</v>
      </c>
    </row>
    <row r="81" spans="2:14">
      <c r="B81" s="2">
        <f>YEAR(EDATE(DATE(2017,10,1),ROWS($A$2:A80)-1))</f>
        <v>2024</v>
      </c>
      <c r="C81" s="2" t="str">
        <f>PROPER(TEXT(EDATE(DATE(2019,10,1),ROWS($B$2:B80)-1),"mmm"))</f>
        <v>Apr</v>
      </c>
      <c r="F81" s="12" t="s">
        <v>45</v>
      </c>
      <c r="G81" s="3">
        <v>1</v>
      </c>
      <c r="H81" s="13">
        <v>316846.1440000041</v>
      </c>
      <c r="I81" s="55">
        <f t="shared" si="3"/>
        <v>316846.1440000041</v>
      </c>
      <c r="J81" s="33">
        <v>2450</v>
      </c>
      <c r="K81" s="14">
        <f t="shared" si="4"/>
        <v>129.32495673469555</v>
      </c>
      <c r="M81" s="49"/>
      <c r="N81" s="49">
        <v>0</v>
      </c>
    </row>
    <row r="82" spans="2:14">
      <c r="B82" s="2">
        <f>YEAR(EDATE(DATE(2017,10,1),ROWS($A$2:A81)-1))</f>
        <v>2024</v>
      </c>
      <c r="C82" s="2" t="str">
        <f>PROPER(TEXT(EDATE(DATE(2019,10,1),ROWS($B$2:B81)-1),"mmm"))</f>
        <v>May</v>
      </c>
      <c r="F82" s="12" t="s">
        <v>45</v>
      </c>
      <c r="G82" s="3">
        <v>1</v>
      </c>
      <c r="H82" s="13">
        <v>533395.41601750907</v>
      </c>
      <c r="I82" s="55">
        <f t="shared" si="3"/>
        <v>533395.41601750907</v>
      </c>
      <c r="J82" s="33">
        <v>3036</v>
      </c>
      <c r="K82" s="14">
        <f t="shared" si="4"/>
        <v>175.69018972908731</v>
      </c>
      <c r="M82" s="49"/>
      <c r="N82" s="49">
        <v>0</v>
      </c>
    </row>
    <row r="83" spans="2:14">
      <c r="B83" s="2">
        <f>YEAR(EDATE(DATE(2017,10,1),ROWS($A$2:A82)-1))</f>
        <v>2024</v>
      </c>
      <c r="C83" s="2" t="str">
        <f>PROPER(TEXT(EDATE(DATE(2019,10,1),ROWS($B$2:B82)-1),"mmm"))</f>
        <v>Jun</v>
      </c>
      <c r="F83" s="12" t="s">
        <v>45</v>
      </c>
      <c r="G83" s="3">
        <v>1</v>
      </c>
      <c r="H83" s="13">
        <v>549598.59800000489</v>
      </c>
      <c r="I83" s="55">
        <f t="shared" si="3"/>
        <v>549598.59800000489</v>
      </c>
      <c r="J83" s="33">
        <v>2811</v>
      </c>
      <c r="K83" s="14">
        <f t="shared" si="4"/>
        <v>195.51711063678579</v>
      </c>
      <c r="M83" s="49"/>
      <c r="N83" s="49">
        <v>0</v>
      </c>
    </row>
    <row r="84" spans="2:14">
      <c r="B84" s="2">
        <f>YEAR(EDATE(DATE(2017,10,1),ROWS($A$2:A83)-1))</f>
        <v>2024</v>
      </c>
      <c r="C84" s="2" t="str">
        <f>PROPER(TEXT(EDATE(DATE(2019,10,1),ROWS($B$2:B83)-1),"mmm"))</f>
        <v>Jul</v>
      </c>
      <c r="F84" s="12" t="s">
        <v>45</v>
      </c>
      <c r="G84" s="3">
        <v>1</v>
      </c>
      <c r="H84" s="13">
        <v>600034</v>
      </c>
      <c r="I84" s="55">
        <f t="shared" si="3"/>
        <v>600034</v>
      </c>
      <c r="J84" s="33">
        <v>3096</v>
      </c>
      <c r="K84" s="14">
        <f t="shared" si="4"/>
        <v>193.80943152454779</v>
      </c>
      <c r="M84" s="49"/>
      <c r="N84" s="49">
        <v>0</v>
      </c>
    </row>
    <row r="85" spans="2:14">
      <c r="B85" s="2">
        <f>YEAR(EDATE(DATE(2017,10,1),ROWS($A$2:A84)-1))</f>
        <v>2024</v>
      </c>
      <c r="C85" s="2" t="str">
        <f>PROPER(TEXT(EDATE(DATE(2019,10,1),ROWS($B$2:B84)-1),"mmm"))</f>
        <v>Aug</v>
      </c>
      <c r="F85" s="12" t="s">
        <v>45</v>
      </c>
      <c r="G85" s="3">
        <v>1</v>
      </c>
      <c r="H85" s="13">
        <v>588982.04352000204</v>
      </c>
      <c r="I85" s="55">
        <f t="shared" si="3"/>
        <v>588982.04352000204</v>
      </c>
      <c r="J85" s="33">
        <v>3065</v>
      </c>
      <c r="K85" s="14">
        <f t="shared" si="4"/>
        <v>192.16379886460101</v>
      </c>
      <c r="M85" s="49"/>
      <c r="N85" s="49">
        <v>0</v>
      </c>
    </row>
    <row r="86" spans="2:14">
      <c r="B86" s="2">
        <f>YEAR(EDATE(DATE(2017,10,1),ROWS($A$2:A85)-1))</f>
        <v>2024</v>
      </c>
      <c r="C86" s="2" t="str">
        <f>PROPER(TEXT(EDATE(DATE(2019,10,1),ROWS($B$2:B85)-1),"mmm"))</f>
        <v>Sep</v>
      </c>
      <c r="F86" s="12" t="s">
        <v>45</v>
      </c>
      <c r="G86" s="3">
        <v>1</v>
      </c>
      <c r="H86" s="13">
        <v>589759</v>
      </c>
      <c r="I86" s="55">
        <f t="shared" si="3"/>
        <v>589759</v>
      </c>
      <c r="J86" s="33">
        <v>2275.6860000000001</v>
      </c>
      <c r="K86" s="14">
        <f t="shared" si="4"/>
        <v>259.15657959841559</v>
      </c>
      <c r="M86" s="49"/>
      <c r="N86" s="49">
        <v>0</v>
      </c>
    </row>
    <row r="87" spans="2:14">
      <c r="B87" s="2">
        <f>YEAR(EDATE(DATE(2017,10,1),ROWS($A$2:A86)-1))</f>
        <v>2024</v>
      </c>
      <c r="C87" s="2" t="str">
        <f>PROPER(TEXT(EDATE(DATE(2019,10,1),ROWS($B$2:B86)-1),"mmm"))</f>
        <v>Oct</v>
      </c>
      <c r="F87" s="12" t="s">
        <v>45</v>
      </c>
      <c r="G87" s="3">
        <v>1</v>
      </c>
      <c r="H87" s="13">
        <v>575201</v>
      </c>
      <c r="I87" s="55">
        <f t="shared" si="3"/>
        <v>575201</v>
      </c>
      <c r="J87" s="33">
        <v>2601.991</v>
      </c>
      <c r="K87" s="14">
        <f t="shared" si="4"/>
        <v>221.06187146688825</v>
      </c>
      <c r="N87" s="49">
        <v>0</v>
      </c>
    </row>
    <row r="88" spans="2:14">
      <c r="B88" s="2">
        <f>YEAR(EDATE(DATE(2017,10,1),ROWS($A$2:A87)-1))</f>
        <v>2024</v>
      </c>
      <c r="C88" s="2" t="str">
        <f>PROPER(TEXT(EDATE(DATE(2019,10,1),ROWS($B$2:B87)-1),"mmm"))</f>
        <v>Nov</v>
      </c>
      <c r="F88" s="12" t="s">
        <v>45</v>
      </c>
      <c r="G88" s="3">
        <v>1</v>
      </c>
      <c r="H88" s="13">
        <v>537085.59587155306</v>
      </c>
      <c r="I88" s="55">
        <f t="shared" si="3"/>
        <v>537085.59587155306</v>
      </c>
      <c r="J88" s="33">
        <v>2618</v>
      </c>
      <c r="K88" s="14">
        <f t="shared" si="4"/>
        <v>205.15110613886671</v>
      </c>
      <c r="N88" s="49">
        <v>0</v>
      </c>
    </row>
    <row r="89" spans="2:14">
      <c r="B89" s="2">
        <f>YEAR(EDATE(DATE(2017,10,1),ROWS($A$2:A88)-1))</f>
        <v>2024</v>
      </c>
      <c r="C89" s="2" t="str">
        <f>PROPER(TEXT(EDATE(DATE(2019,10,1),ROWS($B$2:B88)-1),"mmm"))</f>
        <v>Dec</v>
      </c>
      <c r="F89" s="12" t="s">
        <v>45</v>
      </c>
      <c r="G89" s="3">
        <v>1</v>
      </c>
      <c r="H89" s="13">
        <v>536603.31360000023</v>
      </c>
      <c r="I89" s="55">
        <f t="shared" si="3"/>
        <v>536603.31360000023</v>
      </c>
      <c r="J89" s="33">
        <v>2628</v>
      </c>
      <c r="K89" s="14">
        <f t="shared" si="4"/>
        <v>204.18695342465762</v>
      </c>
      <c r="N89" s="49">
        <v>0</v>
      </c>
    </row>
    <row r="90" spans="2:14">
      <c r="B90" s="2">
        <f>YEAR(EDATE(DATE(2017,10,1),ROWS($A$2:A89)-1))</f>
        <v>2025</v>
      </c>
      <c r="C90" s="2" t="str">
        <f>PROPER(TEXT(EDATE(DATE(2019,10,1),ROWS($B$2:B89)-1),"mmm"))</f>
        <v>Jan</v>
      </c>
      <c r="F90" s="12" t="s">
        <v>45</v>
      </c>
      <c r="G90" s="3">
        <v>1</v>
      </c>
      <c r="H90" s="13">
        <v>537806.24793599942</v>
      </c>
      <c r="I90" s="55">
        <f t="shared" si="3"/>
        <v>537806.24793599942</v>
      </c>
      <c r="J90" s="33">
        <v>3136.7159999999999</v>
      </c>
      <c r="K90" s="14">
        <f t="shared" si="4"/>
        <v>171.45519324541957</v>
      </c>
      <c r="N90" s="49">
        <v>0</v>
      </c>
    </row>
    <row r="91" spans="2:14">
      <c r="B91" s="2">
        <f>YEAR(EDATE(DATE(2017,10,1),ROWS($A$2:A90)-1))</f>
        <v>2025</v>
      </c>
      <c r="C91" s="2" t="str">
        <f>PROPER(TEXT(EDATE(DATE(2019,10,1),ROWS($B$2:B90)-1),"mmm"))</f>
        <v>Feb</v>
      </c>
      <c r="F91" s="12" t="s">
        <v>45</v>
      </c>
      <c r="G91" s="3">
        <v>1</v>
      </c>
      <c r="H91" s="13">
        <v>490669</v>
      </c>
      <c r="I91" s="55">
        <f t="shared" si="3"/>
        <v>490669</v>
      </c>
      <c r="J91" s="33">
        <v>2259</v>
      </c>
      <c r="K91" s="14">
        <f t="shared" si="4"/>
        <v>217.20628596724214</v>
      </c>
      <c r="N91" s="49">
        <v>0</v>
      </c>
    </row>
    <row r="92" spans="2:14">
      <c r="B92" s="2">
        <f>YEAR(EDATE(DATE(2017,10,1),ROWS($A$2:A91)-1))</f>
        <v>2025</v>
      </c>
      <c r="C92" s="2" t="str">
        <f>PROPER(TEXT(EDATE(DATE(2019,10,1),ROWS($B$2:B91)-1),"mmm"))</f>
        <v>Mar</v>
      </c>
      <c r="F92" s="12" t="s">
        <v>45</v>
      </c>
      <c r="G92" s="3">
        <v>1</v>
      </c>
      <c r="H92" s="13">
        <v>536036.61923839815</v>
      </c>
      <c r="I92" s="55">
        <f t="shared" si="3"/>
        <v>536036.61923839815</v>
      </c>
      <c r="J92" s="33">
        <v>2321</v>
      </c>
      <c r="K92" s="14">
        <f t="shared" si="4"/>
        <v>230.95071918931416</v>
      </c>
      <c r="N92" s="49">
        <v>0</v>
      </c>
    </row>
    <row r="93" spans="2:14">
      <c r="B93" s="2">
        <f>YEAR(EDATE(DATE(2017,10,1),ROWS($A$2:A92)-1))</f>
        <v>2025</v>
      </c>
      <c r="C93" s="2" t="str">
        <f>PROPER(TEXT(EDATE(DATE(2019,10,1),ROWS($B$2:B92)-1),"mmm"))</f>
        <v>Apr</v>
      </c>
      <c r="F93" s="12" t="s">
        <v>45</v>
      </c>
      <c r="G93" s="3">
        <v>1</v>
      </c>
      <c r="H93" s="13">
        <v>495994</v>
      </c>
      <c r="I93" s="55">
        <f t="shared" si="3"/>
        <v>495994</v>
      </c>
      <c r="J93" s="33">
        <v>1854</v>
      </c>
      <c r="K93" s="14">
        <f t="shared" si="4"/>
        <v>267.52642934196331</v>
      </c>
      <c r="N93" s="49">
        <v>0</v>
      </c>
    </row>
    <row r="94" spans="2:14">
      <c r="B94" s="2">
        <f>YEAR(EDATE(DATE(2017,10,1),ROWS($A$2:A93)-1))</f>
        <v>2025</v>
      </c>
      <c r="C94" s="2" t="str">
        <f>PROPER(TEXT(EDATE(DATE(2019,10,1),ROWS($B$2:B93)-1),"mmm"))</f>
        <v>May</v>
      </c>
      <c r="F94" s="12" t="s">
        <v>45</v>
      </c>
      <c r="G94" s="3">
        <v>1</v>
      </c>
      <c r="H94" s="13">
        <v>552363.04767999961</v>
      </c>
      <c r="I94" s="55">
        <f t="shared" si="3"/>
        <v>552363.04767999961</v>
      </c>
      <c r="J94" s="33">
        <v>2211</v>
      </c>
      <c r="K94" s="14">
        <f t="shared" si="4"/>
        <v>249.8249876436</v>
      </c>
      <c r="N94" s="49">
        <v>0</v>
      </c>
    </row>
    <row r="95" spans="2:14">
      <c r="B95" s="2">
        <f>YEAR(EDATE(DATE(2017,10,1),ROWS($A$2:A94)-1))</f>
        <v>2025</v>
      </c>
      <c r="C95" s="2" t="str">
        <f>PROPER(TEXT(EDATE(DATE(2019,10,1),ROWS($B$2:B94)-1),"mmm"))</f>
        <v>Jun</v>
      </c>
      <c r="F95" s="12" t="s">
        <v>45</v>
      </c>
      <c r="G95" s="3">
        <v>1</v>
      </c>
      <c r="H95" s="13">
        <v>514145.08479999984</v>
      </c>
      <c r="I95" s="55">
        <f t="shared" si="3"/>
        <v>514145.08479999984</v>
      </c>
      <c r="J95" s="33">
        <v>2563</v>
      </c>
      <c r="K95" s="14">
        <f t="shared" si="4"/>
        <v>200.60284229418644</v>
      </c>
      <c r="N95" s="49">
        <v>0</v>
      </c>
    </row>
    <row r="96" spans="2:14">
      <c r="B96" s="2">
        <f>YEAR(EDATE(DATE(2017,10,1),ROWS($A$2:A95)-1))</f>
        <v>2025</v>
      </c>
      <c r="C96" s="2" t="str">
        <f>PROPER(TEXT(EDATE(DATE(2019,10,1),ROWS($B$2:B95)-1),"mmm"))</f>
        <v>Jul</v>
      </c>
      <c r="F96" s="12" t="s">
        <v>45</v>
      </c>
      <c r="G96" s="3">
        <v>1</v>
      </c>
      <c r="H96" s="13">
        <v>372208.78399999993</v>
      </c>
      <c r="I96" s="55">
        <f t="shared" si="3"/>
        <v>372208.78399999993</v>
      </c>
      <c r="J96" s="33">
        <v>1894</v>
      </c>
      <c r="K96" s="14">
        <f t="shared" si="4"/>
        <v>196.51994931362194</v>
      </c>
      <c r="N96" s="49">
        <v>0</v>
      </c>
    </row>
    <row r="97" spans="2:14">
      <c r="B97" s="2">
        <f>YEAR(EDATE(DATE(2017,10,1),ROWS($A$2:A96)-1))</f>
        <v>2025</v>
      </c>
      <c r="C97" s="2" t="str">
        <f>PROPER(TEXT(EDATE(DATE(2019,10,1),ROWS($B$2:B96)-1),"mmm"))</f>
        <v>Aug</v>
      </c>
      <c r="F97" s="12" t="s">
        <v>45</v>
      </c>
      <c r="G97" s="3">
        <v>1</v>
      </c>
      <c r="H97" s="13">
        <v>412999.38671999873</v>
      </c>
      <c r="I97" s="55">
        <f t="shared" si="3"/>
        <v>412999.38671999873</v>
      </c>
      <c r="J97" s="33">
        <v>2054</v>
      </c>
      <c r="K97" s="14">
        <f t="shared" si="4"/>
        <v>201.07078223953201</v>
      </c>
      <c r="N97" s="49">
        <v>0</v>
      </c>
    </row>
    <row r="98" spans="2:14">
      <c r="B98" s="2">
        <f>YEAR(EDATE(DATE(2017,10,1),ROWS($A$2:A97)-1))</f>
        <v>2025</v>
      </c>
      <c r="C98" s="2" t="str">
        <f>PROPER(TEXT(EDATE(DATE(2019,10,1),ROWS($B$2:B97)-1),"mmm"))</f>
        <v>Sep</v>
      </c>
      <c r="F98" s="12" t="s">
        <v>45</v>
      </c>
      <c r="G98" s="3">
        <v>1</v>
      </c>
      <c r="H98" s="13">
        <v>390792.17688000051</v>
      </c>
      <c r="I98" s="55">
        <f t="shared" si="3"/>
        <v>390792.17688000051</v>
      </c>
      <c r="J98" s="33">
        <v>1981</v>
      </c>
      <c r="K98" s="14">
        <f t="shared" si="4"/>
        <v>197.27015491166102</v>
      </c>
      <c r="N98" s="49">
        <v>0</v>
      </c>
    </row>
    <row r="99" spans="2:14">
      <c r="B99" s="2">
        <f>YEAR(EDATE(DATE(2017,10,1),ROWS($A$2:A98)-1))</f>
        <v>2025</v>
      </c>
      <c r="C99" s="2" t="str">
        <f>PROPER(TEXT(EDATE(DATE(2019,10,1),ROWS($B$2:B98)-1),"mmm"))</f>
        <v>Oct</v>
      </c>
      <c r="F99" s="12" t="s">
        <v>45</v>
      </c>
      <c r="G99" s="3">
        <v>1</v>
      </c>
      <c r="H99" s="13">
        <v>417541.6615680001</v>
      </c>
      <c r="I99" s="55">
        <f t="shared" ref="I99:I107" si="5">G99*H99</f>
        <v>417541.6615680001</v>
      </c>
      <c r="J99" s="33">
        <v>2066.0610000000001</v>
      </c>
      <c r="K99" s="14">
        <f t="shared" si="4"/>
        <v>202.09551487976398</v>
      </c>
      <c r="N99" s="49">
        <v>0</v>
      </c>
    </row>
    <row r="100" spans="2:14">
      <c r="B100" s="2">
        <f>YEAR(EDATE(DATE(2017,10,1),ROWS($A$2:A99)-1))</f>
        <v>2025</v>
      </c>
      <c r="C100" s="2" t="str">
        <f>PROPER(TEXT(EDATE(DATE(2019,10,1),ROWS($B$2:B99)-1),"mmm"))</f>
        <v>Nov</v>
      </c>
      <c r="F100" s="12" t="s">
        <v>45</v>
      </c>
      <c r="G100" s="3">
        <v>1</v>
      </c>
      <c r="H100" s="13">
        <v>387536.94676799944</v>
      </c>
      <c r="I100" s="55">
        <f t="shared" si="5"/>
        <v>387536.94676799944</v>
      </c>
      <c r="J100" s="33">
        <v>1621</v>
      </c>
      <c r="K100" s="14">
        <f t="shared" si="4"/>
        <v>239.0727617322637</v>
      </c>
      <c r="N100" s="49">
        <v>0</v>
      </c>
    </row>
    <row r="101" spans="2:14">
      <c r="B101" s="2">
        <f>YEAR(EDATE(DATE(2017,10,1),ROWS($A$2:A100)-1))</f>
        <v>2025</v>
      </c>
      <c r="C101" s="2" t="str">
        <f>PROPER(TEXT(EDATE(DATE(2019,10,1),ROWS($B$2:B100)-1),"mmm"))</f>
        <v>Dec</v>
      </c>
      <c r="F101" s="12" t="s">
        <v>45</v>
      </c>
      <c r="G101" s="3">
        <v>1</v>
      </c>
      <c r="H101" s="13">
        <v>233311</v>
      </c>
      <c r="I101" s="55">
        <f t="shared" si="5"/>
        <v>233311</v>
      </c>
      <c r="J101" s="33">
        <v>1442</v>
      </c>
      <c r="K101" s="14">
        <f t="shared" si="4"/>
        <v>161.79680998613037</v>
      </c>
      <c r="N101" s="49">
        <v>0</v>
      </c>
    </row>
    <row r="102" spans="2:14">
      <c r="B102" s="2">
        <f>YEAR(EDATE(DATE(2017,10,1),ROWS($A$2:A101)-1))</f>
        <v>2026</v>
      </c>
      <c r="C102" s="2" t="str">
        <f>PROPER(TEXT(EDATE(DATE(2019,10,1),ROWS($B$2:B101)-1),"mmm"))</f>
        <v>Jan</v>
      </c>
      <c r="F102" s="12" t="s">
        <v>45</v>
      </c>
      <c r="G102" s="3">
        <v>1</v>
      </c>
      <c r="H102" s="13">
        <v>388378</v>
      </c>
      <c r="I102" s="55">
        <f t="shared" si="5"/>
        <v>388378</v>
      </c>
      <c r="J102" s="33">
        <v>1346</v>
      </c>
      <c r="K102" s="14">
        <f t="shared" si="4"/>
        <v>288.54234769687963</v>
      </c>
      <c r="N102" s="49">
        <v>0</v>
      </c>
    </row>
    <row r="103" spans="2:14">
      <c r="B103" s="2">
        <f>YEAR(EDATE(DATE(2017,10,1),ROWS($A$2:A102)-1))</f>
        <v>2026</v>
      </c>
      <c r="C103" s="2" t="str">
        <f>PROPER(TEXT(EDATE(DATE(2019,10,1),ROWS($B$2:B102)-1),"mmm"))</f>
        <v>Feb</v>
      </c>
      <c r="F103" s="12" t="s">
        <v>45</v>
      </c>
      <c r="G103" s="3">
        <v>1</v>
      </c>
      <c r="H103" s="13">
        <v>369676</v>
      </c>
      <c r="I103" s="55">
        <f t="shared" si="5"/>
        <v>369676</v>
      </c>
      <c r="J103" s="33">
        <v>1799</v>
      </c>
      <c r="K103" s="14">
        <f t="shared" si="4"/>
        <v>205.48971650917176</v>
      </c>
      <c r="N103" s="49">
        <v>0</v>
      </c>
    </row>
    <row r="104" spans="2:14">
      <c r="B104" s="2">
        <f>YEAR(EDATE(DATE(2017,10,1),ROWS($A$2:A103)-1))</f>
        <v>2026</v>
      </c>
      <c r="C104" s="2" t="str">
        <f>PROPER(TEXT(EDATE(DATE(2019,10,1),ROWS($B$2:B103)-1),"mmm"))</f>
        <v>Mar</v>
      </c>
      <c r="F104" s="12" t="s">
        <v>45</v>
      </c>
      <c r="G104" s="3">
        <v>1</v>
      </c>
      <c r="H104" s="13">
        <v>259469</v>
      </c>
      <c r="I104" s="55">
        <f t="shared" si="5"/>
        <v>259469</v>
      </c>
      <c r="J104" s="33">
        <v>391</v>
      </c>
      <c r="K104" s="14">
        <f t="shared" si="4"/>
        <v>663.60358056265989</v>
      </c>
      <c r="N104" s="49">
        <v>0</v>
      </c>
    </row>
    <row r="105" spans="2:14">
      <c r="B105" s="2">
        <f>YEAR(EDATE(DATE(2017,10,1),ROWS($A$2:A104)-1))</f>
        <v>2026</v>
      </c>
      <c r="C105" s="2" t="str">
        <f>PROPER(TEXT(EDATE(DATE(2019,10,1),ROWS($B$2:B104)-1),"mmm"))</f>
        <v>Apr</v>
      </c>
      <c r="F105" s="12" t="s">
        <v>45</v>
      </c>
      <c r="G105" s="3">
        <v>1</v>
      </c>
      <c r="H105" s="13">
        <v>230318</v>
      </c>
      <c r="I105" s="55">
        <f t="shared" si="5"/>
        <v>230318</v>
      </c>
      <c r="J105" s="33">
        <v>662</v>
      </c>
      <c r="K105" s="14">
        <f t="shared" si="4"/>
        <v>347.91238670694867</v>
      </c>
      <c r="N105" s="49">
        <v>0</v>
      </c>
    </row>
    <row r="106" spans="2:14">
      <c r="B106" s="2">
        <f>YEAR(EDATE(DATE(2017,10,1),ROWS($A$2:A105)-1))</f>
        <v>2026</v>
      </c>
      <c r="C106" s="2" t="str">
        <f>PROPER(TEXT(EDATE(DATE(2019,10,1),ROWS($B$2:B105)-1),"mmm"))</f>
        <v>May</v>
      </c>
      <c r="F106" s="12" t="s">
        <v>45</v>
      </c>
      <c r="G106" s="3">
        <v>1</v>
      </c>
      <c r="H106" s="13">
        <v>329920</v>
      </c>
      <c r="I106" s="55">
        <f t="shared" si="5"/>
        <v>329920</v>
      </c>
      <c r="J106" s="33">
        <v>1824</v>
      </c>
      <c r="K106" s="14">
        <f t="shared" si="4"/>
        <v>180.87719298245614</v>
      </c>
      <c r="N106" s="49">
        <v>0</v>
      </c>
    </row>
    <row r="107" spans="2:14">
      <c r="B107" s="2">
        <f>YEAR(EDATE(DATE(2017,10,1),ROWS($A$2:A106)-1))</f>
        <v>2026</v>
      </c>
      <c r="C107" s="2" t="str">
        <f>PROPER(TEXT(EDATE(DATE(2019,10,1),ROWS($B$2:B106)-1),"mmm"))</f>
        <v>Jun</v>
      </c>
      <c r="F107" s="12" t="s">
        <v>45</v>
      </c>
      <c r="G107" s="3">
        <v>1</v>
      </c>
      <c r="H107" s="13">
        <v>359793</v>
      </c>
      <c r="I107" s="55">
        <f t="shared" si="5"/>
        <v>359793</v>
      </c>
      <c r="J107" s="33">
        <v>2092.6260000000002</v>
      </c>
      <c r="K107" s="14">
        <f t="shared" si="4"/>
        <v>171.93373302252766</v>
      </c>
      <c r="N107" s="49">
        <v>0</v>
      </c>
    </row>
    <row r="108" spans="2:14">
      <c r="B108" s="2"/>
      <c r="C108" s="2"/>
      <c r="F108" s="12"/>
      <c r="G108" s="3"/>
      <c r="H108" s="13"/>
      <c r="I108" s="55"/>
    </row>
    <row r="109" spans="2:14">
      <c r="B109" s="2"/>
      <c r="C109" s="2"/>
      <c r="F109" s="12"/>
      <c r="G109" s="3"/>
      <c r="H109" s="13"/>
      <c r="I109" s="55"/>
    </row>
    <row r="110" spans="2:14">
      <c r="B110" s="2"/>
      <c r="C110" s="2"/>
      <c r="F110" s="12"/>
      <c r="G110" s="3"/>
      <c r="H110" s="13"/>
      <c r="I110" s="55"/>
    </row>
    <row r="111" spans="2:14">
      <c r="B111" s="2"/>
      <c r="C111" s="2"/>
      <c r="F111" s="12"/>
      <c r="G111" s="3"/>
      <c r="H111" s="13"/>
      <c r="I111" s="55"/>
    </row>
    <row r="112" spans="2:14">
      <c r="B112" s="2"/>
      <c r="C112" s="2"/>
      <c r="F112" s="12"/>
      <c r="G112" s="3"/>
      <c r="H112" s="13"/>
      <c r="I112" s="55"/>
    </row>
    <row r="113" spans="2:11">
      <c r="B113" s="2"/>
      <c r="C113" s="2"/>
      <c r="F113" s="12"/>
      <c r="G113" s="3"/>
      <c r="H113" s="13"/>
      <c r="I113" s="55"/>
    </row>
    <row r="114" spans="2:11">
      <c r="B114" s="2"/>
      <c r="C114" s="2"/>
      <c r="F114" s="12"/>
      <c r="G114" s="10"/>
      <c r="H114" s="13"/>
      <c r="I114" s="55"/>
      <c r="K114" s="9"/>
    </row>
    <row r="115" spans="2:11">
      <c r="B115" s="2"/>
      <c r="C115" s="2"/>
      <c r="F115" s="12"/>
      <c r="G115" s="3"/>
      <c r="H115" s="13"/>
      <c r="I115" s="55"/>
    </row>
    <row r="116" spans="2:11">
      <c r="B116" s="2"/>
      <c r="C116" s="2"/>
      <c r="F116" s="12"/>
      <c r="G116" s="3"/>
      <c r="H116" s="13"/>
      <c r="I116" s="55"/>
    </row>
    <row r="117" spans="2:11">
      <c r="B117" s="2"/>
      <c r="C117" s="2"/>
      <c r="F117" s="12"/>
      <c r="G117" s="3"/>
      <c r="H117" s="13"/>
      <c r="I117" s="55"/>
    </row>
    <row r="118" spans="2:11">
      <c r="B118" s="2"/>
      <c r="C118" s="2"/>
      <c r="F118" s="12"/>
      <c r="G118" s="3"/>
      <c r="H118" s="13"/>
      <c r="I118" s="55"/>
    </row>
    <row r="119" spans="2:11">
      <c r="B119" s="2"/>
      <c r="C119" s="2"/>
      <c r="F119" s="12"/>
      <c r="G119" s="3"/>
      <c r="H119" s="13"/>
      <c r="I119" s="55"/>
    </row>
    <row r="120" spans="2:11">
      <c r="B120" s="2"/>
      <c r="C120" s="2"/>
      <c r="F120" s="12"/>
      <c r="G120" s="3"/>
      <c r="H120" s="13"/>
      <c r="I120" s="55"/>
    </row>
    <row r="121" spans="2:11">
      <c r="B121" s="2"/>
      <c r="C121" s="2"/>
      <c r="F121" s="12"/>
      <c r="G121" s="10"/>
      <c r="H121" s="13"/>
      <c r="I121" s="55"/>
      <c r="K121" s="9"/>
    </row>
    <row r="122" spans="2:11">
      <c r="B122" s="2"/>
      <c r="C122" s="2"/>
      <c r="F122" s="12"/>
      <c r="G122" s="3"/>
      <c r="H122" s="13"/>
      <c r="I122" s="55"/>
    </row>
    <row r="123" spans="2:11">
      <c r="B123" s="2"/>
      <c r="C123" s="2"/>
      <c r="F123" s="12"/>
      <c r="G123" s="3"/>
      <c r="H123" s="13"/>
      <c r="I123" s="55"/>
    </row>
    <row r="124" spans="2:11">
      <c r="B124" s="2"/>
      <c r="C124" s="2"/>
      <c r="F124" s="12"/>
      <c r="G124" s="3"/>
      <c r="H124" s="13"/>
      <c r="I124" s="55"/>
    </row>
    <row r="125" spans="2:11">
      <c r="B125" s="2"/>
      <c r="C125" s="2"/>
      <c r="F125" s="12"/>
      <c r="G125" s="3"/>
      <c r="H125" s="13"/>
      <c r="I125" s="55"/>
    </row>
    <row r="126" spans="2:11">
      <c r="B126" s="2"/>
      <c r="C126" s="2"/>
      <c r="F126" s="12"/>
      <c r="G126" s="3"/>
      <c r="H126" s="13"/>
      <c r="I126" s="55"/>
    </row>
    <row r="127" spans="2:11">
      <c r="B127" s="2"/>
      <c r="C127" s="2"/>
      <c r="F127" s="12"/>
      <c r="G127" s="3"/>
      <c r="H127" s="13"/>
      <c r="I127" s="55"/>
    </row>
    <row r="128" spans="2:11">
      <c r="B128" s="2"/>
      <c r="C128" s="2"/>
      <c r="F128" s="12"/>
      <c r="G128" s="10"/>
      <c r="H128" s="13"/>
      <c r="I128" s="55"/>
      <c r="K128" s="9"/>
    </row>
    <row r="129" spans="2:11">
      <c r="B129" s="2"/>
      <c r="C129" s="2"/>
      <c r="F129" s="12"/>
      <c r="G129" s="3"/>
      <c r="H129" s="13"/>
      <c r="I129" s="55"/>
    </row>
    <row r="130" spans="2:11">
      <c r="B130" s="2"/>
      <c r="C130" s="2"/>
      <c r="F130" s="12"/>
      <c r="G130" s="3"/>
      <c r="H130" s="13"/>
      <c r="I130" s="55"/>
    </row>
    <row r="131" spans="2:11">
      <c r="B131" s="2"/>
      <c r="C131" s="2"/>
      <c r="F131" s="12"/>
      <c r="G131" s="3"/>
      <c r="H131" s="13"/>
      <c r="I131" s="55"/>
    </row>
    <row r="132" spans="2:11">
      <c r="B132" s="2"/>
      <c r="C132" s="2"/>
      <c r="F132" s="12"/>
      <c r="G132" s="3"/>
      <c r="H132" s="13"/>
      <c r="I132" s="55"/>
    </row>
    <row r="133" spans="2:11">
      <c r="B133" s="2"/>
      <c r="C133" s="2"/>
      <c r="F133" s="12"/>
      <c r="G133" s="3"/>
      <c r="H133" s="13"/>
      <c r="I133" s="55"/>
    </row>
    <row r="134" spans="2:11">
      <c r="B134" s="2"/>
      <c r="C134" s="2"/>
      <c r="F134" s="12"/>
      <c r="G134" s="3"/>
      <c r="H134" s="13"/>
      <c r="I134" s="55"/>
    </row>
    <row r="135" spans="2:11">
      <c r="B135" s="2"/>
      <c r="C135" s="2"/>
      <c r="F135" s="12"/>
      <c r="G135" s="10"/>
      <c r="H135" s="13"/>
      <c r="I135" s="55"/>
      <c r="K135" s="9"/>
    </row>
    <row r="136" spans="2:11">
      <c r="B136" s="2"/>
      <c r="C136" s="2"/>
      <c r="F136" s="12"/>
      <c r="G136" s="3"/>
      <c r="H136" s="13"/>
      <c r="I136" s="55"/>
    </row>
    <row r="137" spans="2:11">
      <c r="B137" s="2"/>
      <c r="C137" s="2"/>
      <c r="F137" s="12"/>
      <c r="G137" s="3"/>
      <c r="H137" s="13"/>
      <c r="I137" s="55"/>
    </row>
    <row r="138" spans="2:11">
      <c r="B138" s="2"/>
      <c r="C138" s="2"/>
      <c r="F138" s="12"/>
      <c r="G138" s="3"/>
      <c r="H138" s="13"/>
      <c r="I138" s="55"/>
    </row>
    <row r="139" spans="2:11">
      <c r="B139" s="2"/>
      <c r="C139" s="2"/>
      <c r="F139" s="12"/>
      <c r="G139" s="3"/>
      <c r="H139" s="13"/>
      <c r="I139" s="55"/>
    </row>
    <row r="140" spans="2:11">
      <c r="B140" s="2"/>
      <c r="C140" s="2"/>
      <c r="F140" s="12"/>
      <c r="G140" s="3"/>
      <c r="H140" s="13"/>
      <c r="I140" s="55"/>
    </row>
    <row r="141" spans="2:11">
      <c r="B141" s="2"/>
      <c r="C141" s="2"/>
      <c r="F141" s="12"/>
      <c r="G141" s="3"/>
      <c r="H141" s="13"/>
      <c r="I141" s="55"/>
    </row>
    <row r="142" spans="2:11">
      <c r="B142" s="2"/>
      <c r="C142" s="2"/>
      <c r="F142" s="12"/>
      <c r="G142" s="10"/>
      <c r="H142" s="13"/>
      <c r="I142" s="55"/>
      <c r="K142" s="9"/>
    </row>
    <row r="143" spans="2:11">
      <c r="B143" s="2"/>
      <c r="C143" s="2"/>
      <c r="F143" s="12"/>
      <c r="G143" s="3"/>
      <c r="H143" s="13"/>
      <c r="I143" s="55"/>
    </row>
    <row r="144" spans="2:11">
      <c r="B144" s="2"/>
      <c r="C144" s="2"/>
      <c r="F144" s="12"/>
      <c r="G144" s="3"/>
      <c r="H144" s="13"/>
      <c r="I144" s="55"/>
    </row>
    <row r="145" spans="2:11">
      <c r="B145" s="2"/>
      <c r="C145" s="2"/>
      <c r="F145" s="12"/>
      <c r="G145" s="3"/>
      <c r="H145" s="13"/>
      <c r="I145" s="55"/>
    </row>
    <row r="146" spans="2:11">
      <c r="B146" s="2"/>
      <c r="C146" s="2"/>
      <c r="F146" s="12"/>
      <c r="G146" s="3"/>
      <c r="H146" s="13"/>
      <c r="I146" s="55"/>
    </row>
    <row r="147" spans="2:11">
      <c r="B147" s="2"/>
      <c r="C147" s="2"/>
      <c r="F147" s="12"/>
      <c r="G147" s="3"/>
      <c r="H147" s="13"/>
      <c r="I147" s="55"/>
    </row>
    <row r="148" spans="2:11">
      <c r="B148" s="2"/>
      <c r="C148" s="2"/>
      <c r="F148" s="12"/>
      <c r="G148" s="3"/>
      <c r="H148" s="13"/>
      <c r="I148" s="55"/>
    </row>
    <row r="149" spans="2:11">
      <c r="B149" s="2"/>
      <c r="C149" s="2"/>
      <c r="F149" s="12"/>
      <c r="G149" s="10"/>
      <c r="H149" s="13"/>
      <c r="I149" s="55"/>
      <c r="K149" s="9"/>
    </row>
    <row r="150" spans="2:11">
      <c r="B150" s="2"/>
      <c r="C150" s="2"/>
      <c r="F150" s="12"/>
      <c r="G150" s="3"/>
      <c r="H150" s="13"/>
      <c r="I150" s="55"/>
    </row>
    <row r="151" spans="2:11">
      <c r="B151" s="2"/>
      <c r="C151" s="2"/>
      <c r="F151" s="12"/>
      <c r="G151" s="3"/>
      <c r="H151" s="13"/>
      <c r="I151" s="55"/>
    </row>
    <row r="152" spans="2:11">
      <c r="B152" s="2"/>
      <c r="C152" s="2"/>
      <c r="F152" s="12"/>
      <c r="G152" s="3"/>
      <c r="H152" s="13"/>
      <c r="I152" s="55"/>
    </row>
    <row r="153" spans="2:11">
      <c r="B153" s="2"/>
      <c r="C153" s="2"/>
      <c r="F153" s="12"/>
      <c r="G153" s="3"/>
      <c r="H153" s="13"/>
      <c r="I153" s="55"/>
    </row>
    <row r="154" spans="2:11">
      <c r="B154" s="2"/>
      <c r="C154" s="2"/>
      <c r="F154" s="12"/>
      <c r="G154" s="3"/>
      <c r="H154" s="13"/>
      <c r="I154" s="55"/>
    </row>
    <row r="155" spans="2:11">
      <c r="B155" s="2"/>
      <c r="C155" s="2"/>
      <c r="F155" s="12"/>
      <c r="G155" s="3"/>
      <c r="H155" s="13"/>
      <c r="I155" s="55"/>
    </row>
    <row r="156" spans="2:11">
      <c r="B156" s="2"/>
      <c r="C156" s="2"/>
      <c r="F156" s="12"/>
      <c r="G156" s="10"/>
      <c r="H156" s="13"/>
      <c r="I156" s="55"/>
      <c r="K156" s="9"/>
    </row>
    <row r="157" spans="2:11">
      <c r="B157" s="2"/>
      <c r="C157" s="2"/>
      <c r="F157" s="12"/>
      <c r="G157" s="3"/>
      <c r="H157" s="13"/>
      <c r="I157" s="55"/>
    </row>
    <row r="158" spans="2:11">
      <c r="B158" s="2"/>
      <c r="C158" s="2"/>
      <c r="F158" s="12"/>
      <c r="G158" s="3"/>
      <c r="H158" s="13"/>
      <c r="I158" s="55"/>
    </row>
    <row r="159" spans="2:11">
      <c r="B159" s="2"/>
      <c r="C159" s="2"/>
      <c r="F159" s="12"/>
      <c r="G159" s="3"/>
      <c r="H159" s="13"/>
      <c r="I159" s="55"/>
    </row>
    <row r="160" spans="2:11">
      <c r="B160" s="2"/>
      <c r="C160" s="2"/>
      <c r="F160" s="12"/>
      <c r="G160" s="3"/>
      <c r="H160" s="13"/>
      <c r="I160" s="55"/>
    </row>
    <row r="161" spans="2:11">
      <c r="B161" s="2"/>
      <c r="C161" s="2"/>
      <c r="F161" s="12"/>
      <c r="G161" s="3"/>
      <c r="H161" s="13"/>
      <c r="I161" s="55"/>
    </row>
    <row r="162" spans="2:11">
      <c r="B162" s="2"/>
      <c r="C162" s="2"/>
      <c r="F162" s="12"/>
      <c r="G162" s="3"/>
      <c r="H162" s="13"/>
      <c r="I162" s="55"/>
    </row>
    <row r="163" spans="2:11">
      <c r="B163" s="2"/>
      <c r="C163" s="2"/>
      <c r="F163" s="12"/>
      <c r="G163" s="10"/>
      <c r="H163" s="13"/>
      <c r="I163" s="55"/>
      <c r="K163" s="9"/>
    </row>
    <row r="164" spans="2:11">
      <c r="B164" s="2"/>
      <c r="C164" s="2"/>
      <c r="F164" s="12"/>
      <c r="G164" s="3"/>
      <c r="H164" s="13"/>
      <c r="I164" s="55"/>
    </row>
    <row r="165" spans="2:11">
      <c r="B165" s="2"/>
      <c r="C165" s="2"/>
      <c r="F165" s="12"/>
      <c r="G165" s="3"/>
      <c r="H165" s="13"/>
      <c r="I165" s="55"/>
    </row>
    <row r="166" spans="2:11">
      <c r="B166" s="2"/>
      <c r="C166" s="2"/>
      <c r="F166" s="12"/>
      <c r="G166" s="3"/>
      <c r="H166" s="13"/>
      <c r="I166" s="55"/>
    </row>
    <row r="167" spans="2:11">
      <c r="B167" s="2"/>
      <c r="C167" s="2"/>
      <c r="F167" s="12"/>
      <c r="G167" s="3"/>
      <c r="H167" s="13"/>
      <c r="I167" s="55"/>
    </row>
    <row r="168" spans="2:11">
      <c r="B168" s="2"/>
      <c r="C168" s="2"/>
      <c r="F168" s="12"/>
      <c r="G168" s="3"/>
      <c r="H168" s="13"/>
      <c r="I168" s="55"/>
    </row>
    <row r="169" spans="2:11">
      <c r="B169" s="2"/>
      <c r="C169" s="2"/>
      <c r="F169" s="12"/>
      <c r="G169" s="3"/>
      <c r="H169" s="13"/>
      <c r="I169" s="55"/>
    </row>
    <row r="170" spans="2:11">
      <c r="B170" s="2"/>
      <c r="C170" s="2"/>
      <c r="F170" s="12"/>
      <c r="G170" s="10"/>
      <c r="H170" s="13"/>
      <c r="I170" s="55"/>
      <c r="K170" s="9"/>
    </row>
    <row r="171" spans="2:11">
      <c r="B171" s="2"/>
      <c r="C171" s="2"/>
      <c r="F171" s="12"/>
      <c r="G171" s="3"/>
      <c r="H171" s="13"/>
      <c r="I171" s="55"/>
    </row>
    <row r="172" spans="2:11">
      <c r="B172" s="2"/>
      <c r="C172" s="2"/>
      <c r="F172" s="12"/>
      <c r="G172" s="3"/>
      <c r="H172" s="13"/>
      <c r="I172" s="55"/>
    </row>
    <row r="173" spans="2:11">
      <c r="B173" s="2"/>
      <c r="C173" s="2"/>
      <c r="F173" s="12"/>
      <c r="G173" s="3"/>
      <c r="H173" s="13"/>
      <c r="I173" s="55"/>
    </row>
    <row r="174" spans="2:11">
      <c r="B174" s="2"/>
      <c r="C174" s="2"/>
      <c r="F174" s="12"/>
      <c r="G174" s="3"/>
      <c r="H174" s="13"/>
      <c r="I174" s="55"/>
    </row>
    <row r="175" spans="2:11">
      <c r="B175" s="2"/>
      <c r="C175" s="2"/>
      <c r="F175" s="12"/>
      <c r="G175" s="3"/>
      <c r="H175" s="13"/>
      <c r="I175" s="55"/>
    </row>
    <row r="176" spans="2:11">
      <c r="B176" s="2"/>
      <c r="C176" s="2"/>
      <c r="F176" s="12"/>
      <c r="G176" s="3"/>
      <c r="H176" s="13"/>
      <c r="I176" s="55"/>
    </row>
    <row r="177" spans="2:11">
      <c r="B177" s="2"/>
      <c r="C177" s="2"/>
      <c r="F177" s="12"/>
      <c r="G177" s="10"/>
      <c r="H177" s="13"/>
      <c r="I177" s="55"/>
      <c r="K177" s="9"/>
    </row>
    <row r="178" spans="2:11">
      <c r="B178" s="2"/>
      <c r="C178" s="2"/>
      <c r="F178" s="12"/>
      <c r="G178" s="3"/>
      <c r="H178" s="13"/>
      <c r="I178" s="55"/>
    </row>
    <row r="179" spans="2:11">
      <c r="B179" s="2"/>
      <c r="C179" s="2"/>
      <c r="F179" s="12"/>
      <c r="G179" s="3"/>
      <c r="H179" s="13"/>
      <c r="I179" s="55"/>
    </row>
    <row r="180" spans="2:11">
      <c r="B180" s="2"/>
      <c r="C180" s="2"/>
      <c r="F180" s="12"/>
      <c r="G180" s="3"/>
      <c r="H180" s="13"/>
      <c r="I180" s="55"/>
    </row>
    <row r="181" spans="2:11">
      <c r="B181" s="2"/>
      <c r="C181" s="2"/>
      <c r="F181" s="12"/>
      <c r="G181" s="3"/>
      <c r="H181" s="13"/>
      <c r="I181" s="55"/>
    </row>
    <row r="182" spans="2:11">
      <c r="B182" s="2"/>
      <c r="C182" s="2"/>
      <c r="F182" s="12"/>
      <c r="G182" s="3"/>
      <c r="H182" s="13"/>
      <c r="I182" s="55"/>
    </row>
    <row r="183" spans="2:11">
      <c r="B183" s="2"/>
      <c r="C183" s="2"/>
      <c r="F183" s="12"/>
      <c r="G183" s="3"/>
      <c r="H183" s="13"/>
      <c r="I183" s="55"/>
    </row>
    <row r="184" spans="2:11">
      <c r="B184" s="2"/>
      <c r="C184" s="2"/>
      <c r="F184" s="12"/>
      <c r="G184" s="10"/>
      <c r="H184" s="13"/>
      <c r="I184" s="55"/>
      <c r="K184" s="9"/>
    </row>
    <row r="185" spans="2:11">
      <c r="B185" s="2"/>
      <c r="C185" s="2"/>
      <c r="F185" s="12"/>
      <c r="G185" s="3"/>
      <c r="H185" s="13"/>
      <c r="I185" s="55"/>
    </row>
    <row r="186" spans="2:11">
      <c r="B186" s="2"/>
      <c r="C186" s="2"/>
      <c r="F186" s="12"/>
      <c r="G186" s="3"/>
      <c r="H186" s="13"/>
      <c r="I186" s="55"/>
    </row>
    <row r="187" spans="2:11">
      <c r="B187" s="2"/>
      <c r="C187" s="2"/>
      <c r="F187" s="12"/>
      <c r="G187" s="3"/>
      <c r="H187" s="13"/>
      <c r="I187" s="55"/>
    </row>
    <row r="188" spans="2:11">
      <c r="B188" s="2"/>
      <c r="C188" s="2"/>
      <c r="F188" s="12"/>
      <c r="G188" s="3"/>
      <c r="H188" s="13"/>
      <c r="I188" s="55"/>
    </row>
    <row r="189" spans="2:11">
      <c r="B189" s="2"/>
      <c r="C189" s="2"/>
      <c r="F189" s="12"/>
      <c r="G189" s="3"/>
      <c r="H189" s="13"/>
      <c r="I189" s="55"/>
    </row>
    <row r="190" spans="2:11">
      <c r="B190" s="2"/>
      <c r="C190" s="2"/>
      <c r="F190" s="12"/>
      <c r="G190" s="3"/>
      <c r="H190" s="13"/>
      <c r="I190" s="55"/>
    </row>
    <row r="191" spans="2:11">
      <c r="B191" s="2"/>
      <c r="C191" s="2"/>
      <c r="F191" s="12"/>
      <c r="G191" s="10"/>
      <c r="H191" s="13"/>
      <c r="I191" s="55"/>
      <c r="K191" s="9"/>
    </row>
    <row r="192" spans="2:11">
      <c r="B192" s="2"/>
      <c r="C192" s="2"/>
      <c r="F192" s="12"/>
      <c r="G192" s="3"/>
      <c r="H192" s="13"/>
      <c r="I192" s="55"/>
    </row>
    <row r="193" spans="2:11">
      <c r="B193" s="2"/>
      <c r="C193" s="2"/>
      <c r="F193" s="12"/>
      <c r="G193" s="3"/>
      <c r="H193" s="13"/>
      <c r="I193" s="55"/>
    </row>
    <row r="194" spans="2:11">
      <c r="B194" s="2"/>
      <c r="C194" s="2"/>
      <c r="F194" s="12"/>
      <c r="G194" s="3"/>
      <c r="H194" s="13"/>
      <c r="I194" s="55"/>
    </row>
    <row r="195" spans="2:11">
      <c r="B195" s="2"/>
      <c r="C195" s="2"/>
      <c r="F195" s="12"/>
      <c r="G195" s="3"/>
      <c r="H195" s="13"/>
      <c r="I195" s="55"/>
    </row>
    <row r="196" spans="2:11">
      <c r="B196" s="2"/>
      <c r="C196" s="2"/>
      <c r="F196" s="12"/>
      <c r="G196" s="3"/>
      <c r="H196" s="13"/>
      <c r="I196" s="55"/>
    </row>
    <row r="197" spans="2:11">
      <c r="B197" s="2"/>
      <c r="C197" s="2"/>
      <c r="F197" s="12"/>
      <c r="G197" s="3"/>
      <c r="H197" s="13"/>
      <c r="I197" s="55"/>
    </row>
    <row r="198" spans="2:11">
      <c r="B198" s="2"/>
      <c r="C198" s="2"/>
      <c r="F198" s="12"/>
      <c r="G198" s="10"/>
      <c r="H198" s="13"/>
      <c r="I198" s="55"/>
      <c r="K198" s="9"/>
    </row>
    <row r="199" spans="2:11">
      <c r="B199" s="2"/>
      <c r="C199" s="2"/>
      <c r="F199" s="12"/>
      <c r="G199" s="3"/>
      <c r="H199" s="13"/>
      <c r="I199" s="55"/>
    </row>
    <row r="200" spans="2:11">
      <c r="B200" s="2"/>
      <c r="C200" s="2"/>
      <c r="F200" s="12"/>
      <c r="G200" s="3"/>
      <c r="H200" s="13"/>
      <c r="I200" s="55"/>
    </row>
    <row r="201" spans="2:11">
      <c r="B201" s="2"/>
      <c r="C201" s="2"/>
      <c r="F201" s="12"/>
      <c r="G201" s="3"/>
      <c r="H201" s="13"/>
      <c r="I201" s="55"/>
    </row>
    <row r="202" spans="2:11">
      <c r="B202" s="2"/>
      <c r="C202" s="2"/>
      <c r="F202" s="12"/>
      <c r="G202" s="3"/>
      <c r="H202" s="13"/>
      <c r="I202" s="55"/>
    </row>
    <row r="203" spans="2:11">
      <c r="B203" s="2"/>
      <c r="C203" s="2"/>
      <c r="F203" s="12"/>
      <c r="G203" s="3"/>
      <c r="H203" s="13"/>
      <c r="I203" s="55"/>
    </row>
    <row r="204" spans="2:11">
      <c r="B204" s="2"/>
      <c r="C204" s="2"/>
      <c r="F204" s="12"/>
      <c r="G204" s="3"/>
      <c r="H204" s="13"/>
      <c r="I204" s="55"/>
    </row>
    <row r="205" spans="2:11">
      <c r="B205" s="2"/>
      <c r="C205" s="2"/>
      <c r="F205" s="12"/>
      <c r="G205" s="10"/>
      <c r="H205" s="13"/>
      <c r="I205" s="55"/>
      <c r="K205" s="9"/>
    </row>
    <row r="206" spans="2:11">
      <c r="B206" s="2"/>
      <c r="C206" s="2"/>
      <c r="F206" s="12"/>
      <c r="G206" s="3"/>
      <c r="H206" s="13"/>
      <c r="I206" s="55"/>
    </row>
    <row r="207" spans="2:11">
      <c r="B207" s="2"/>
      <c r="C207" s="2"/>
      <c r="F207" s="12"/>
      <c r="G207" s="3"/>
      <c r="H207" s="13"/>
      <c r="I207" s="55"/>
    </row>
    <row r="208" spans="2:11">
      <c r="B208" s="2"/>
      <c r="C208" s="2"/>
      <c r="F208" s="12"/>
      <c r="G208" s="3"/>
      <c r="H208" s="13"/>
      <c r="I208" s="55"/>
    </row>
    <row r="209" spans="2:11">
      <c r="B209" s="2"/>
      <c r="C209" s="2"/>
      <c r="F209" s="12"/>
      <c r="G209" s="3"/>
      <c r="H209" s="13"/>
      <c r="I209" s="55"/>
    </row>
    <row r="210" spans="2:11">
      <c r="B210" s="2"/>
      <c r="C210" s="2"/>
      <c r="F210" s="12"/>
      <c r="G210" s="3"/>
      <c r="H210" s="13"/>
      <c r="I210" s="55"/>
    </row>
    <row r="211" spans="2:11">
      <c r="B211" s="2"/>
      <c r="C211" s="2"/>
      <c r="F211" s="12"/>
      <c r="G211" s="3"/>
      <c r="H211" s="13"/>
      <c r="I211" s="55"/>
    </row>
    <row r="212" spans="2:11">
      <c r="B212" s="2"/>
      <c r="C212" s="2"/>
      <c r="F212" s="12"/>
      <c r="G212" s="10"/>
      <c r="H212" s="13"/>
      <c r="I212" s="55"/>
      <c r="K212" s="9"/>
    </row>
    <row r="213" spans="2:11">
      <c r="B213" s="2"/>
      <c r="C213" s="2"/>
      <c r="F213" s="12"/>
      <c r="G213" s="3"/>
      <c r="H213" s="13"/>
      <c r="I213" s="55"/>
    </row>
    <row r="214" spans="2:11">
      <c r="B214" s="2"/>
      <c r="C214" s="2"/>
      <c r="F214" s="12"/>
      <c r="G214" s="3"/>
      <c r="H214" s="13"/>
      <c r="I214" s="55"/>
    </row>
    <row r="215" spans="2:11">
      <c r="B215" s="2"/>
      <c r="C215" s="2"/>
      <c r="F215" s="12"/>
      <c r="G215" s="3"/>
      <c r="H215" s="13"/>
      <c r="I215" s="55"/>
    </row>
    <row r="216" spans="2:11">
      <c r="B216" s="2"/>
      <c r="C216" s="2"/>
      <c r="F216" s="12"/>
      <c r="G216" s="3"/>
      <c r="H216" s="13"/>
      <c r="I216" s="55"/>
    </row>
    <row r="217" spans="2:11">
      <c r="B217" s="2"/>
      <c r="C217" s="2"/>
      <c r="F217" s="12"/>
      <c r="G217" s="3"/>
      <c r="H217" s="13"/>
      <c r="I217" s="55"/>
    </row>
    <row r="218" spans="2:11">
      <c r="B218" s="2"/>
      <c r="C218" s="2"/>
      <c r="F218" s="12"/>
      <c r="G218" s="3"/>
      <c r="H218" s="13"/>
      <c r="I218" s="55"/>
    </row>
    <row r="219" spans="2:11">
      <c r="B219" s="2"/>
      <c r="C219" s="2"/>
      <c r="F219" s="12"/>
      <c r="G219" s="10"/>
      <c r="H219" s="13"/>
      <c r="I219" s="55"/>
      <c r="K219" s="9"/>
    </row>
    <row r="220" spans="2:11">
      <c r="B220" s="2"/>
      <c r="C220" s="2"/>
      <c r="F220" s="12"/>
      <c r="G220" s="3"/>
      <c r="H220" s="13"/>
      <c r="I220" s="55"/>
    </row>
    <row r="221" spans="2:11">
      <c r="B221" s="2"/>
      <c r="C221" s="2"/>
      <c r="F221" s="12"/>
      <c r="G221" s="3"/>
      <c r="H221" s="13"/>
      <c r="I221" s="55"/>
    </row>
    <row r="222" spans="2:11">
      <c r="B222" s="2"/>
      <c r="C222" s="2"/>
      <c r="F222" s="12"/>
      <c r="G222" s="3"/>
      <c r="H222" s="13"/>
      <c r="I222" s="55"/>
    </row>
    <row r="223" spans="2:11">
      <c r="B223" s="2"/>
      <c r="C223" s="2"/>
      <c r="F223" s="12"/>
      <c r="G223" s="3"/>
      <c r="H223" s="13"/>
      <c r="I223" s="55"/>
    </row>
    <row r="224" spans="2:11">
      <c r="B224" s="2"/>
      <c r="C224" s="2"/>
      <c r="F224" s="12"/>
      <c r="G224" s="3"/>
      <c r="H224" s="13"/>
      <c r="I224" s="55"/>
    </row>
    <row r="225" spans="2:11">
      <c r="B225" s="2"/>
      <c r="C225" s="2"/>
      <c r="F225" s="12"/>
      <c r="G225" s="3"/>
      <c r="H225" s="13"/>
      <c r="I225" s="55"/>
    </row>
    <row r="226" spans="2:11">
      <c r="B226" s="2"/>
      <c r="C226" s="2"/>
      <c r="F226" s="12"/>
      <c r="G226" s="10"/>
      <c r="H226" s="13"/>
      <c r="I226" s="55"/>
      <c r="K226" s="9"/>
    </row>
    <row r="227" spans="2:11">
      <c r="B227" s="2"/>
      <c r="C227" s="2"/>
      <c r="F227" s="12"/>
      <c r="G227" s="3"/>
      <c r="H227" s="13"/>
      <c r="I227" s="55"/>
    </row>
    <row r="228" spans="2:11">
      <c r="B228" s="2"/>
      <c r="C228" s="2"/>
      <c r="F228" s="12"/>
      <c r="G228" s="3"/>
      <c r="H228" s="13"/>
      <c r="I228" s="55"/>
    </row>
    <row r="229" spans="2:11">
      <c r="B229" s="2"/>
      <c r="C229" s="2"/>
      <c r="F229" s="12"/>
      <c r="G229" s="3"/>
      <c r="H229" s="13"/>
      <c r="I229" s="55"/>
    </row>
    <row r="230" spans="2:11">
      <c r="B230" s="2"/>
      <c r="C230" s="2"/>
      <c r="F230" s="12"/>
      <c r="G230" s="3"/>
      <c r="H230" s="13"/>
      <c r="I230" s="55"/>
    </row>
    <row r="231" spans="2:11">
      <c r="B231" s="2"/>
      <c r="C231" s="2"/>
      <c r="F231" s="12"/>
      <c r="G231" s="3"/>
      <c r="H231" s="13"/>
      <c r="I231" s="55"/>
    </row>
    <row r="232" spans="2:11">
      <c r="B232" s="2"/>
      <c r="C232" s="2"/>
      <c r="F232" s="12"/>
      <c r="G232" s="3"/>
      <c r="H232" s="13"/>
      <c r="I232" s="55"/>
    </row>
    <row r="233" spans="2:11">
      <c r="B233" s="2"/>
      <c r="C233" s="2"/>
      <c r="F233" s="12"/>
      <c r="G233" s="10"/>
      <c r="H233" s="13"/>
      <c r="I233" s="55"/>
      <c r="K233" s="9"/>
    </row>
    <row r="234" spans="2:11">
      <c r="B234" s="2"/>
      <c r="C234" s="2"/>
      <c r="F234" s="12"/>
      <c r="G234" s="3"/>
      <c r="H234" s="13"/>
      <c r="I234" s="55"/>
    </row>
    <row r="235" spans="2:11">
      <c r="B235" s="2"/>
      <c r="C235" s="2"/>
      <c r="F235" s="12"/>
      <c r="G235" s="3"/>
      <c r="H235" s="13"/>
      <c r="I235" s="55"/>
    </row>
    <row r="236" spans="2:11">
      <c r="B236" s="2"/>
      <c r="C236" s="2"/>
      <c r="F236" s="12"/>
      <c r="G236" s="3"/>
      <c r="H236" s="13"/>
      <c r="I236" s="55"/>
    </row>
    <row r="237" spans="2:11">
      <c r="B237" s="2"/>
      <c r="C237" s="2"/>
      <c r="F237" s="12"/>
      <c r="G237" s="3"/>
      <c r="H237" s="13"/>
      <c r="I237" s="55"/>
    </row>
    <row r="238" spans="2:11">
      <c r="B238" s="2"/>
      <c r="C238" s="2"/>
      <c r="F238" s="12"/>
      <c r="G238" s="3"/>
      <c r="H238" s="13"/>
      <c r="I238" s="55"/>
    </row>
    <row r="239" spans="2:11">
      <c r="B239" s="2"/>
      <c r="C239" s="2"/>
      <c r="F239" s="12"/>
      <c r="G239" s="3"/>
      <c r="H239" s="13"/>
      <c r="I239" s="55"/>
    </row>
    <row r="240" spans="2:11">
      <c r="B240" s="2"/>
      <c r="C240" s="2"/>
      <c r="F240" s="12"/>
      <c r="G240" s="10"/>
      <c r="H240" s="13"/>
      <c r="I240" s="55"/>
      <c r="K240" s="9"/>
    </row>
    <row r="241" spans="2:11">
      <c r="B241" s="2"/>
      <c r="C241" s="2"/>
      <c r="F241" s="12"/>
      <c r="G241" s="3"/>
      <c r="H241" s="13"/>
      <c r="I241" s="55"/>
    </row>
    <row r="242" spans="2:11">
      <c r="B242" s="2"/>
      <c r="C242" s="2"/>
      <c r="F242" s="12"/>
      <c r="G242" s="3"/>
      <c r="H242" s="13"/>
      <c r="I242" s="55"/>
    </row>
    <row r="243" spans="2:11">
      <c r="B243" s="2"/>
      <c r="C243" s="2"/>
      <c r="F243" s="12"/>
      <c r="G243" s="3"/>
      <c r="H243" s="13"/>
      <c r="I243" s="55"/>
    </row>
    <row r="244" spans="2:11">
      <c r="B244" s="2"/>
      <c r="C244" s="2"/>
      <c r="F244" s="12"/>
      <c r="G244" s="3"/>
      <c r="H244" s="13"/>
      <c r="I244" s="55"/>
    </row>
    <row r="245" spans="2:11">
      <c r="B245" s="2"/>
      <c r="C245" s="2"/>
      <c r="F245" s="12"/>
      <c r="G245" s="3"/>
      <c r="H245" s="13"/>
      <c r="I245" s="55"/>
    </row>
    <row r="246" spans="2:11">
      <c r="B246" s="2"/>
      <c r="C246" s="2"/>
      <c r="F246" s="12"/>
      <c r="G246" s="3"/>
      <c r="H246" s="13"/>
      <c r="I246" s="55"/>
    </row>
    <row r="247" spans="2:11">
      <c r="B247" s="2"/>
      <c r="C247" s="2"/>
      <c r="F247" s="12"/>
      <c r="G247" s="10"/>
      <c r="H247" s="13"/>
      <c r="I247" s="55"/>
      <c r="K247" s="9"/>
    </row>
    <row r="248" spans="2:11">
      <c r="B248" s="2"/>
      <c r="C248" s="2"/>
      <c r="F248" s="12"/>
      <c r="G248" s="3"/>
      <c r="H248" s="13"/>
      <c r="I248" s="55"/>
    </row>
    <row r="249" spans="2:11">
      <c r="B249" s="2"/>
      <c r="C249" s="2"/>
      <c r="F249" s="12"/>
      <c r="G249" s="3"/>
      <c r="H249" s="13"/>
      <c r="I249" s="55"/>
    </row>
    <row r="250" spans="2:11">
      <c r="B250" s="2"/>
      <c r="C250" s="2"/>
      <c r="F250" s="12"/>
      <c r="G250" s="3"/>
      <c r="H250" s="13"/>
      <c r="I250" s="55"/>
    </row>
    <row r="251" spans="2:11">
      <c r="B251" s="2"/>
      <c r="C251" s="2"/>
      <c r="F251" s="12"/>
      <c r="G251" s="3"/>
      <c r="H251" s="13"/>
      <c r="I251" s="55"/>
    </row>
    <row r="252" spans="2:11">
      <c r="B252" s="2"/>
      <c r="C252" s="2"/>
      <c r="F252" s="12"/>
      <c r="G252" s="3"/>
      <c r="H252" s="13"/>
      <c r="I252" s="55"/>
    </row>
    <row r="253" spans="2:11">
      <c r="B253" s="2"/>
      <c r="C253" s="2"/>
      <c r="F253" s="12"/>
      <c r="G253" s="3"/>
      <c r="H253" s="13"/>
      <c r="I253" s="55"/>
    </row>
    <row r="254" spans="2:11">
      <c r="B254" s="2"/>
      <c r="C254" s="2"/>
      <c r="F254" s="12"/>
      <c r="G254" s="10"/>
      <c r="H254" s="13"/>
      <c r="I254" s="55"/>
      <c r="K254" s="9"/>
    </row>
    <row r="255" spans="2:11">
      <c r="B255" s="2"/>
      <c r="C255" s="2"/>
      <c r="F255" s="12"/>
      <c r="G255" s="3"/>
      <c r="H255" s="13"/>
      <c r="I255" s="55"/>
    </row>
    <row r="256" spans="2:11">
      <c r="B256" s="2"/>
      <c r="C256" s="2"/>
      <c r="F256" s="12"/>
      <c r="G256" s="3"/>
      <c r="H256" s="13"/>
      <c r="I256" s="55"/>
    </row>
    <row r="257" spans="2:11">
      <c r="B257" s="2"/>
      <c r="C257" s="2"/>
      <c r="F257" s="12"/>
      <c r="G257" s="3"/>
      <c r="H257" s="13"/>
      <c r="I257" s="55"/>
    </row>
    <row r="258" spans="2:11">
      <c r="B258" s="2"/>
      <c r="C258" s="2"/>
      <c r="F258" s="12"/>
      <c r="G258" s="3"/>
      <c r="H258" s="13"/>
      <c r="I258" s="55"/>
    </row>
    <row r="259" spans="2:11">
      <c r="B259" s="2"/>
      <c r="C259" s="2"/>
      <c r="F259" s="12"/>
      <c r="G259" s="3"/>
      <c r="H259" s="13"/>
      <c r="I259" s="55"/>
    </row>
    <row r="260" spans="2:11">
      <c r="B260" s="2"/>
      <c r="C260" s="2"/>
      <c r="F260" s="12"/>
      <c r="G260" s="3"/>
      <c r="H260" s="13"/>
      <c r="I260" s="55"/>
    </row>
    <row r="261" spans="2:11">
      <c r="B261" s="2"/>
      <c r="C261" s="2"/>
      <c r="F261" s="12"/>
      <c r="G261" s="10"/>
      <c r="H261" s="13"/>
      <c r="I261" s="55"/>
      <c r="K261" s="9"/>
    </row>
    <row r="262" spans="2:11">
      <c r="B262" s="2"/>
      <c r="C262" s="2"/>
      <c r="F262" s="12"/>
      <c r="G262" s="3"/>
      <c r="H262" s="13"/>
      <c r="I262" s="55"/>
    </row>
    <row r="263" spans="2:11">
      <c r="B263" s="2"/>
      <c r="C263" s="2"/>
      <c r="F263" s="12"/>
      <c r="G263" s="3"/>
      <c r="H263" s="13"/>
      <c r="I263" s="55"/>
    </row>
    <row r="264" spans="2:11">
      <c r="B264" s="2"/>
      <c r="C264" s="2"/>
      <c r="F264" s="12"/>
      <c r="G264" s="3"/>
      <c r="H264" s="13"/>
      <c r="I264" s="55"/>
    </row>
    <row r="265" spans="2:11">
      <c r="B265" s="2"/>
      <c r="C265" s="2"/>
      <c r="F265" s="12"/>
      <c r="G265" s="3"/>
      <c r="H265" s="13"/>
      <c r="I265" s="55"/>
    </row>
    <row r="266" spans="2:11">
      <c r="B266" s="2"/>
      <c r="C266" s="2"/>
      <c r="F266" s="12"/>
      <c r="G266" s="3"/>
      <c r="H266" s="13"/>
      <c r="I266" s="55"/>
    </row>
    <row r="267" spans="2:11">
      <c r="B267" s="2"/>
      <c r="C267" s="2"/>
      <c r="F267" s="12"/>
      <c r="G267" s="3"/>
      <c r="H267" s="13"/>
      <c r="I267" s="55"/>
    </row>
    <row r="268" spans="2:11">
      <c r="B268" s="2"/>
      <c r="C268" s="2"/>
      <c r="F268" s="12"/>
      <c r="G268" s="10"/>
      <c r="H268" s="13"/>
      <c r="I268" s="55"/>
      <c r="K268" s="9"/>
    </row>
    <row r="269" spans="2:11">
      <c r="B269" s="2"/>
      <c r="C269" s="2"/>
      <c r="F269" s="12"/>
      <c r="G269" s="3"/>
      <c r="H269" s="13"/>
      <c r="I269" s="55"/>
    </row>
    <row r="270" spans="2:11">
      <c r="B270" s="2"/>
      <c r="C270" s="2"/>
      <c r="F270" s="12"/>
      <c r="G270" s="3"/>
      <c r="H270" s="13"/>
      <c r="I270" s="55"/>
    </row>
    <row r="271" spans="2:11">
      <c r="B271" s="2"/>
      <c r="C271" s="2"/>
      <c r="F271" s="12"/>
      <c r="G271" s="3"/>
      <c r="H271" s="13"/>
      <c r="I271" s="55"/>
    </row>
    <row r="272" spans="2:11">
      <c r="B272" s="2"/>
      <c r="C272" s="2"/>
      <c r="F272" s="12"/>
      <c r="G272" s="3"/>
      <c r="H272" s="13"/>
      <c r="I272" s="55"/>
    </row>
    <row r="273" spans="2:11">
      <c r="B273" s="2"/>
      <c r="C273" s="2"/>
      <c r="F273" s="12"/>
      <c r="G273" s="3"/>
      <c r="H273" s="13"/>
      <c r="I273" s="55"/>
    </row>
    <row r="274" spans="2:11">
      <c r="B274" s="2"/>
      <c r="C274" s="2"/>
      <c r="F274" s="12"/>
      <c r="G274" s="3"/>
      <c r="H274" s="13"/>
      <c r="I274" s="55"/>
    </row>
    <row r="275" spans="2:11">
      <c r="B275" s="2"/>
      <c r="C275" s="2"/>
      <c r="F275" s="12"/>
      <c r="G275" s="10"/>
      <c r="H275" s="13"/>
      <c r="I275" s="55"/>
      <c r="K275" s="9"/>
    </row>
    <row r="276" spans="2:11">
      <c r="B276" s="2"/>
      <c r="C276" s="2"/>
      <c r="F276" s="12"/>
      <c r="G276" s="3"/>
      <c r="H276" s="13"/>
      <c r="I276" s="55"/>
    </row>
    <row r="277" spans="2:11">
      <c r="B277" s="2"/>
      <c r="C277" s="2"/>
      <c r="F277" s="12"/>
      <c r="G277" s="3"/>
      <c r="H277" s="13"/>
      <c r="I277" s="55"/>
    </row>
    <row r="278" spans="2:11">
      <c r="B278" s="2"/>
      <c r="C278" s="2"/>
      <c r="F278" s="12"/>
      <c r="G278" s="3"/>
      <c r="H278" s="13"/>
      <c r="I278" s="55"/>
    </row>
    <row r="279" spans="2:11">
      <c r="B279" s="2"/>
      <c r="C279" s="2"/>
      <c r="F279" s="12"/>
      <c r="G279" s="3"/>
      <c r="H279" s="13"/>
      <c r="I279" s="55"/>
    </row>
    <row r="280" spans="2:11">
      <c r="B280" s="2"/>
      <c r="C280" s="2"/>
      <c r="F280" s="12"/>
      <c r="G280" s="3"/>
      <c r="H280" s="13"/>
      <c r="I280" s="55"/>
    </row>
    <row r="281" spans="2:11">
      <c r="B281" s="2"/>
      <c r="C281" s="2"/>
      <c r="F281" s="12"/>
      <c r="G281" s="3"/>
      <c r="H281" s="13"/>
      <c r="I281" s="55"/>
    </row>
    <row r="282" spans="2:11">
      <c r="B282" s="2"/>
      <c r="C282" s="2"/>
      <c r="F282" s="12"/>
      <c r="G282" s="10"/>
      <c r="H282" s="13"/>
      <c r="I282" s="55"/>
      <c r="K282" s="9"/>
    </row>
    <row r="283" spans="2:11">
      <c r="B283" s="2"/>
      <c r="C283" s="2"/>
      <c r="F283" s="12"/>
      <c r="G283" s="3"/>
      <c r="H283" s="13"/>
      <c r="I283" s="55"/>
    </row>
    <row r="284" spans="2:11">
      <c r="B284" s="2"/>
      <c r="C284" s="2"/>
      <c r="F284" s="12"/>
      <c r="G284" s="3"/>
      <c r="H284" s="13"/>
      <c r="I284" s="55"/>
    </row>
    <row r="285" spans="2:11">
      <c r="B285" s="2"/>
      <c r="C285" s="2"/>
      <c r="F285" s="12"/>
      <c r="G285" s="3"/>
      <c r="H285" s="13"/>
      <c r="I285" s="55"/>
    </row>
    <row r="286" spans="2:11">
      <c r="B286" s="2"/>
      <c r="C286" s="2"/>
      <c r="F286" s="12"/>
      <c r="G286" s="3"/>
      <c r="H286" s="13"/>
      <c r="I286" s="55"/>
    </row>
    <row r="287" spans="2:11">
      <c r="B287" s="2"/>
      <c r="C287" s="2"/>
      <c r="F287" s="12"/>
      <c r="G287" s="3"/>
      <c r="H287" s="13"/>
      <c r="I287" s="55"/>
    </row>
    <row r="288" spans="2:11">
      <c r="B288" s="2"/>
      <c r="C288" s="2"/>
      <c r="F288" s="12"/>
      <c r="G288" s="3"/>
      <c r="H288" s="13"/>
      <c r="I288" s="55"/>
    </row>
    <row r="289" spans="2:11">
      <c r="B289" s="2"/>
      <c r="C289" s="2"/>
      <c r="F289" s="12"/>
      <c r="G289" s="10"/>
      <c r="H289" s="13"/>
      <c r="I289" s="55"/>
      <c r="K289" s="9"/>
    </row>
    <row r="290" spans="2:11">
      <c r="B290" s="2"/>
      <c r="C290" s="2"/>
      <c r="F290" s="12"/>
      <c r="G290" s="3"/>
      <c r="H290" s="13"/>
      <c r="I290" s="55"/>
    </row>
    <row r="291" spans="2:11">
      <c r="B291" s="2"/>
      <c r="C291" s="2"/>
      <c r="F291" s="12"/>
      <c r="G291" s="3"/>
      <c r="H291" s="13"/>
      <c r="I291" s="55"/>
    </row>
    <row r="292" spans="2:11">
      <c r="B292" s="2"/>
      <c r="C292" s="2"/>
      <c r="F292" s="12"/>
      <c r="G292" s="3"/>
      <c r="H292" s="13"/>
      <c r="I292" s="55"/>
    </row>
    <row r="293" spans="2:11">
      <c r="B293" s="2"/>
      <c r="C293" s="2"/>
      <c r="F293" s="12"/>
      <c r="G293" s="3"/>
      <c r="H293" s="13"/>
      <c r="I293" s="55"/>
    </row>
    <row r="294" spans="2:11">
      <c r="B294" s="2"/>
      <c r="C294" s="2"/>
      <c r="F294" s="12"/>
      <c r="G294" s="3"/>
      <c r="H294" s="13"/>
      <c r="I294" s="55"/>
    </row>
    <row r="295" spans="2:11">
      <c r="B295" s="2"/>
      <c r="C295" s="2"/>
      <c r="F295" s="12"/>
      <c r="G295" s="3"/>
      <c r="H295" s="13"/>
      <c r="I295" s="55"/>
    </row>
    <row r="296" spans="2:11">
      <c r="B296" s="2"/>
      <c r="C296" s="2"/>
      <c r="F296" s="12"/>
      <c r="G296" s="10"/>
      <c r="H296" s="13"/>
      <c r="I296" s="55"/>
      <c r="K296" s="9"/>
    </row>
    <row r="297" spans="2:11">
      <c r="B297" s="2"/>
      <c r="C297" s="2"/>
      <c r="F297" s="12"/>
      <c r="G297" s="3"/>
      <c r="H297" s="13"/>
      <c r="I297" s="55"/>
    </row>
    <row r="298" spans="2:11">
      <c r="B298" s="2"/>
      <c r="C298" s="2"/>
      <c r="F298" s="12"/>
      <c r="G298" s="3"/>
      <c r="H298" s="13"/>
      <c r="I298" s="55"/>
    </row>
    <row r="299" spans="2:11">
      <c r="B299" s="2"/>
      <c r="C299" s="2"/>
      <c r="F299" s="12"/>
      <c r="G299" s="3"/>
      <c r="H299" s="13"/>
      <c r="I299" s="55"/>
    </row>
    <row r="300" spans="2:11">
      <c r="B300" s="2"/>
      <c r="C300" s="2"/>
      <c r="F300" s="12"/>
      <c r="G300" s="3"/>
      <c r="H300" s="13"/>
      <c r="I300" s="55"/>
    </row>
    <row r="301" spans="2:11">
      <c r="B301" s="2"/>
      <c r="C301" s="2"/>
      <c r="F301" s="12"/>
      <c r="G301" s="3"/>
      <c r="H301" s="13"/>
      <c r="I301" s="55"/>
    </row>
    <row r="302" spans="2:11">
      <c r="B302" s="2"/>
      <c r="C302" s="2"/>
      <c r="F302" s="12"/>
      <c r="G302" s="3"/>
      <c r="H302" s="13"/>
      <c r="I302" s="55"/>
    </row>
    <row r="303" spans="2:11">
      <c r="B303" s="2"/>
      <c r="C303" s="2"/>
      <c r="F303" s="12"/>
      <c r="G303" s="10"/>
      <c r="H303" s="13"/>
      <c r="I303" s="55"/>
      <c r="K303" s="9"/>
    </row>
    <row r="304" spans="2:11">
      <c r="B304" s="2"/>
      <c r="C304" s="2"/>
      <c r="F304" s="12"/>
      <c r="G304" s="3"/>
      <c r="H304" s="13"/>
      <c r="I304" s="55"/>
    </row>
    <row r="305" spans="2:11">
      <c r="B305" s="2"/>
      <c r="C305" s="2"/>
      <c r="F305" s="12"/>
      <c r="G305" s="3"/>
      <c r="H305" s="13"/>
      <c r="I305" s="55"/>
    </row>
    <row r="306" spans="2:11">
      <c r="B306" s="2"/>
      <c r="C306" s="2"/>
      <c r="F306" s="12"/>
      <c r="G306" s="3"/>
      <c r="H306" s="13"/>
      <c r="I306" s="55"/>
    </row>
    <row r="307" spans="2:11">
      <c r="B307" s="2"/>
      <c r="C307" s="2"/>
      <c r="F307" s="12"/>
      <c r="G307" s="3"/>
      <c r="H307" s="13"/>
      <c r="I307" s="55"/>
    </row>
    <row r="308" spans="2:11">
      <c r="B308" s="2"/>
      <c r="C308" s="2"/>
      <c r="F308" s="12"/>
      <c r="G308" s="3"/>
      <c r="H308" s="13"/>
      <c r="I308" s="55"/>
    </row>
    <row r="309" spans="2:11">
      <c r="B309" s="2"/>
      <c r="C309" s="2"/>
      <c r="F309" s="12"/>
      <c r="G309" s="3"/>
      <c r="H309" s="13"/>
      <c r="I309" s="55"/>
    </row>
    <row r="310" spans="2:11">
      <c r="B310" s="2"/>
      <c r="C310" s="2"/>
      <c r="F310" s="12"/>
      <c r="G310" s="10"/>
      <c r="H310" s="13"/>
      <c r="I310" s="55"/>
      <c r="K310" s="9"/>
    </row>
    <row r="311" spans="2:11">
      <c r="B311" s="2"/>
      <c r="C311" s="2"/>
      <c r="F311" s="12"/>
      <c r="G311" s="3"/>
      <c r="H311" s="13"/>
      <c r="I311" s="55"/>
    </row>
    <row r="312" spans="2:11">
      <c r="B312" s="2"/>
      <c r="C312" s="2"/>
      <c r="F312" s="12"/>
      <c r="G312" s="3"/>
      <c r="H312" s="13"/>
      <c r="I312" s="55"/>
    </row>
    <row r="313" spans="2:11">
      <c r="B313" s="2"/>
      <c r="C313" s="2"/>
      <c r="F313" s="12"/>
      <c r="G313" s="3"/>
      <c r="H313" s="13"/>
      <c r="I313" s="55"/>
    </row>
    <row r="314" spans="2:11">
      <c r="B314" s="2"/>
      <c r="C314" s="2"/>
      <c r="F314" s="12"/>
      <c r="G314" s="3"/>
      <c r="H314" s="13"/>
      <c r="I314" s="55"/>
    </row>
    <row r="315" spans="2:11">
      <c r="B315" s="2"/>
      <c r="C315" s="2"/>
      <c r="F315" s="12"/>
      <c r="G315" s="3"/>
      <c r="H315" s="13"/>
      <c r="I315" s="55"/>
    </row>
    <row r="316" spans="2:11">
      <c r="B316" s="2"/>
      <c r="C316" s="2"/>
      <c r="F316" s="12"/>
      <c r="G316" s="3"/>
      <c r="H316" s="13"/>
      <c r="I316" s="55"/>
    </row>
    <row r="317" spans="2:11">
      <c r="B317" s="2"/>
      <c r="C317" s="2"/>
      <c r="F317" s="12"/>
      <c r="G317" s="10"/>
      <c r="H317" s="13"/>
      <c r="I317" s="55"/>
      <c r="K317" s="9"/>
    </row>
    <row r="318" spans="2:11">
      <c r="B318" s="2"/>
      <c r="C318" s="2"/>
      <c r="F318" s="12"/>
      <c r="G318" s="3"/>
      <c r="H318" s="13"/>
      <c r="I318" s="55"/>
    </row>
    <row r="319" spans="2:11">
      <c r="B319" s="2"/>
      <c r="C319" s="2"/>
      <c r="F319" s="12"/>
      <c r="G319" s="3"/>
      <c r="H319" s="13"/>
      <c r="I319" s="55"/>
    </row>
    <row r="320" spans="2:11">
      <c r="B320" s="2"/>
      <c r="C320" s="2"/>
      <c r="F320" s="12"/>
      <c r="G320" s="3"/>
      <c r="H320" s="13"/>
      <c r="I320" s="55"/>
    </row>
    <row r="321" spans="2:11">
      <c r="B321" s="2"/>
      <c r="C321" s="2"/>
      <c r="F321" s="12"/>
      <c r="G321" s="3"/>
      <c r="H321" s="13"/>
      <c r="I321" s="55"/>
    </row>
    <row r="322" spans="2:11">
      <c r="B322" s="2"/>
      <c r="C322" s="2"/>
      <c r="F322" s="12"/>
      <c r="G322" s="3"/>
      <c r="H322" s="13"/>
      <c r="I322" s="55"/>
    </row>
    <row r="323" spans="2:11">
      <c r="B323" s="2"/>
      <c r="C323" s="2"/>
      <c r="F323" s="12"/>
      <c r="G323" s="3"/>
      <c r="H323" s="13"/>
      <c r="I323" s="55"/>
    </row>
    <row r="324" spans="2:11">
      <c r="B324" s="2"/>
      <c r="C324" s="2"/>
      <c r="F324" s="12"/>
      <c r="G324" s="10"/>
      <c r="H324" s="13"/>
      <c r="I324" s="55"/>
      <c r="K324" s="9"/>
    </row>
    <row r="325" spans="2:11">
      <c r="B325" s="2"/>
      <c r="C325" s="2"/>
      <c r="F325" s="12"/>
      <c r="G325" s="3"/>
      <c r="H325" s="13"/>
      <c r="I325" s="55"/>
    </row>
    <row r="326" spans="2:11">
      <c r="B326" s="2"/>
      <c r="C326" s="2"/>
      <c r="F326" s="12"/>
      <c r="G326" s="3"/>
      <c r="H326" s="13"/>
      <c r="I326" s="55"/>
    </row>
    <row r="327" spans="2:11">
      <c r="B327" s="2"/>
      <c r="C327" s="2"/>
      <c r="F327" s="12"/>
      <c r="G327" s="3"/>
      <c r="H327" s="13"/>
      <c r="I327" s="55"/>
    </row>
    <row r="328" spans="2:11">
      <c r="B328" s="2"/>
      <c r="C328" s="2"/>
      <c r="F328" s="12"/>
      <c r="G328" s="3"/>
      <c r="H328" s="13"/>
      <c r="I328" s="55"/>
    </row>
    <row r="329" spans="2:11">
      <c r="B329" s="2"/>
      <c r="C329" s="2"/>
      <c r="F329" s="12"/>
      <c r="G329" s="3"/>
      <c r="H329" s="13"/>
      <c r="I329" s="55"/>
    </row>
    <row r="330" spans="2:11">
      <c r="B330" s="2"/>
      <c r="C330" s="2"/>
      <c r="F330" s="12"/>
      <c r="G330" s="3"/>
      <c r="H330" s="13"/>
      <c r="I330" s="55"/>
    </row>
    <row r="331" spans="2:11">
      <c r="B331" s="2"/>
      <c r="C331" s="2"/>
      <c r="F331" s="12"/>
      <c r="G331" s="10"/>
      <c r="H331" s="13"/>
      <c r="I331" s="55"/>
      <c r="K331" s="9"/>
    </row>
    <row r="332" spans="2:11">
      <c r="B332" s="2"/>
      <c r="C332" s="2"/>
      <c r="F332" s="12"/>
      <c r="G332" s="3"/>
      <c r="H332" s="13"/>
      <c r="I332" s="55"/>
    </row>
    <row r="333" spans="2:11">
      <c r="B333" s="2"/>
      <c r="C333" s="2"/>
      <c r="F333" s="12"/>
      <c r="G333" s="3"/>
      <c r="H333" s="13"/>
      <c r="I333" s="55"/>
    </row>
    <row r="334" spans="2:11">
      <c r="B334" s="2"/>
      <c r="C334" s="2"/>
      <c r="F334" s="12"/>
      <c r="G334" s="3"/>
      <c r="H334" s="13"/>
      <c r="I334" s="55"/>
    </row>
    <row r="335" spans="2:11">
      <c r="B335" s="2"/>
      <c r="C335" s="2"/>
      <c r="F335" s="12"/>
      <c r="G335" s="3"/>
      <c r="H335" s="13"/>
      <c r="I335" s="55"/>
    </row>
    <row r="336" spans="2:11">
      <c r="B336" s="2"/>
      <c r="C336" s="2"/>
      <c r="F336" s="12"/>
      <c r="G336" s="3"/>
      <c r="H336" s="13"/>
      <c r="I336" s="55"/>
    </row>
    <row r="337" spans="2:11">
      <c r="B337" s="2"/>
      <c r="C337" s="2"/>
      <c r="F337" s="12"/>
      <c r="G337" s="3"/>
      <c r="H337" s="13"/>
      <c r="I337" s="55"/>
    </row>
    <row r="338" spans="2:11">
      <c r="B338" s="2"/>
      <c r="C338" s="2"/>
      <c r="F338" s="12"/>
      <c r="G338" s="10"/>
      <c r="H338" s="13"/>
      <c r="I338" s="55"/>
      <c r="K338" s="9"/>
    </row>
    <row r="339" spans="2:11">
      <c r="B339" s="2"/>
      <c r="C339" s="2"/>
      <c r="F339" s="12"/>
      <c r="G339" s="3"/>
      <c r="H339" s="13"/>
      <c r="I339" s="55"/>
    </row>
    <row r="340" spans="2:11">
      <c r="B340" s="2"/>
      <c r="C340" s="2"/>
      <c r="F340" s="12"/>
      <c r="G340" s="3"/>
      <c r="H340" s="13"/>
      <c r="I340" s="55"/>
    </row>
    <row r="341" spans="2:11">
      <c r="B341" s="2"/>
      <c r="C341" s="2"/>
      <c r="F341" s="12"/>
      <c r="G341" s="3"/>
      <c r="H341" s="13"/>
      <c r="I341" s="55"/>
    </row>
    <row r="342" spans="2:11">
      <c r="B342" s="2"/>
      <c r="C342" s="2"/>
      <c r="F342" s="12"/>
      <c r="G342" s="3"/>
      <c r="H342" s="13"/>
      <c r="I342" s="55"/>
    </row>
    <row r="343" spans="2:11">
      <c r="B343" s="2"/>
      <c r="C343" s="2"/>
      <c r="F343" s="12"/>
      <c r="G343" s="3"/>
      <c r="H343" s="13"/>
      <c r="I343" s="55"/>
    </row>
    <row r="344" spans="2:11">
      <c r="B344" s="2"/>
      <c r="C344" s="2"/>
      <c r="F344" s="12"/>
      <c r="G344" s="3"/>
      <c r="H344" s="13"/>
      <c r="I344" s="55"/>
    </row>
    <row r="345" spans="2:11">
      <c r="B345" s="2"/>
      <c r="C345" s="2"/>
      <c r="F345" s="12"/>
      <c r="G345" s="10"/>
      <c r="H345" s="13"/>
      <c r="I345" s="55"/>
      <c r="K345" s="9"/>
    </row>
    <row r="346" spans="2:11">
      <c r="B346" s="2"/>
      <c r="C346" s="2"/>
      <c r="F346" s="12"/>
      <c r="G346" s="3"/>
      <c r="H346" s="13"/>
      <c r="I346" s="55"/>
    </row>
    <row r="347" spans="2:11">
      <c r="B347" s="2"/>
      <c r="C347" s="2"/>
      <c r="F347" s="12"/>
      <c r="G347" s="3"/>
      <c r="H347" s="13"/>
      <c r="I347" s="55"/>
    </row>
    <row r="348" spans="2:11">
      <c r="B348" s="2"/>
      <c r="C348" s="2"/>
      <c r="F348" s="12"/>
      <c r="G348" s="3"/>
      <c r="H348" s="13"/>
      <c r="I348" s="55"/>
    </row>
    <row r="349" spans="2:11">
      <c r="B349" s="2"/>
      <c r="C349" s="2"/>
      <c r="F349" s="12"/>
      <c r="G349" s="3"/>
      <c r="H349" s="13"/>
      <c r="I349" s="55"/>
    </row>
    <row r="350" spans="2:11">
      <c r="B350" s="2"/>
      <c r="C350" s="2"/>
      <c r="F350" s="12"/>
      <c r="G350" s="3"/>
      <c r="H350" s="13"/>
      <c r="I350" s="55"/>
    </row>
    <row r="351" spans="2:11">
      <c r="B351" s="2"/>
      <c r="C351" s="2"/>
      <c r="F351" s="12"/>
      <c r="G351" s="3"/>
      <c r="H351" s="13"/>
      <c r="I351" s="55"/>
    </row>
    <row r="352" spans="2:11">
      <c r="B352" s="2"/>
      <c r="C352" s="2"/>
      <c r="F352" s="12"/>
      <c r="G352" s="10"/>
      <c r="H352" s="13"/>
      <c r="I352" s="55"/>
      <c r="K352" s="9"/>
    </row>
    <row r="353" spans="2:11">
      <c r="B353" s="2"/>
      <c r="C353" s="2"/>
      <c r="F353" s="12"/>
      <c r="G353" s="3"/>
      <c r="H353" s="13"/>
      <c r="I353" s="55"/>
    </row>
    <row r="354" spans="2:11">
      <c r="B354" s="2"/>
      <c r="C354" s="2"/>
      <c r="F354" s="12"/>
      <c r="G354" s="3"/>
      <c r="H354" s="13"/>
      <c r="I354" s="55"/>
    </row>
    <row r="355" spans="2:11">
      <c r="B355" s="2"/>
      <c r="C355" s="2"/>
      <c r="F355" s="12"/>
      <c r="G355" s="3"/>
      <c r="H355" s="13"/>
      <c r="I355" s="55"/>
    </row>
    <row r="356" spans="2:11">
      <c r="B356" s="2"/>
      <c r="C356" s="2"/>
      <c r="F356" s="12"/>
      <c r="G356" s="3"/>
      <c r="H356" s="13"/>
      <c r="I356" s="55"/>
    </row>
    <row r="357" spans="2:11">
      <c r="B357" s="2"/>
      <c r="C357" s="2"/>
      <c r="F357" s="12"/>
      <c r="G357" s="3"/>
      <c r="H357" s="13"/>
      <c r="I357" s="55"/>
    </row>
    <row r="358" spans="2:11">
      <c r="B358" s="2"/>
      <c r="C358" s="2"/>
      <c r="F358" s="12"/>
      <c r="G358" s="3"/>
      <c r="H358" s="13"/>
      <c r="I358" s="55"/>
    </row>
    <row r="359" spans="2:11">
      <c r="B359" s="2"/>
      <c r="C359" s="2"/>
      <c r="F359" s="12"/>
      <c r="G359" s="10"/>
      <c r="H359" s="13"/>
      <c r="I359" s="55"/>
      <c r="K359" s="9"/>
    </row>
    <row r="360" spans="2:11">
      <c r="B360" s="2"/>
      <c r="C360" s="2"/>
      <c r="F360" s="12"/>
      <c r="G360" s="3"/>
      <c r="H360" s="13"/>
      <c r="I360" s="55"/>
    </row>
    <row r="361" spans="2:11">
      <c r="B361" s="2"/>
      <c r="C361" s="2"/>
      <c r="F361" s="12"/>
      <c r="G361" s="3"/>
      <c r="H361" s="13"/>
      <c r="I361" s="55"/>
    </row>
    <row r="362" spans="2:11">
      <c r="B362" s="2"/>
      <c r="C362" s="2"/>
      <c r="F362" s="12"/>
      <c r="G362" s="3"/>
      <c r="H362" s="13"/>
      <c r="I362" s="55"/>
    </row>
    <row r="363" spans="2:11">
      <c r="B363" s="2"/>
      <c r="C363" s="2"/>
      <c r="F363" s="12"/>
      <c r="G363" s="3"/>
      <c r="H363" s="13"/>
      <c r="I363" s="55"/>
    </row>
    <row r="364" spans="2:11">
      <c r="B364" s="2"/>
      <c r="C364" s="2"/>
      <c r="F364" s="12"/>
      <c r="G364" s="3"/>
      <c r="H364" s="13"/>
      <c r="I364" s="55"/>
    </row>
    <row r="365" spans="2:11">
      <c r="B365" s="2"/>
      <c r="C365" s="2"/>
      <c r="F365" s="12"/>
      <c r="G365" s="3"/>
      <c r="H365" s="13"/>
      <c r="I365" s="55"/>
    </row>
    <row r="366" spans="2:11">
      <c r="B366" s="2"/>
      <c r="C366" s="2"/>
      <c r="F366" s="12"/>
      <c r="G366" s="10"/>
      <c r="H366" s="13"/>
      <c r="I366" s="55"/>
      <c r="K366" s="9"/>
    </row>
    <row r="367" spans="2:11">
      <c r="B367" s="2"/>
      <c r="C367" s="2"/>
      <c r="F367" s="12"/>
      <c r="G367" s="3"/>
      <c r="H367" s="13"/>
      <c r="I367" s="55"/>
    </row>
    <row r="368" spans="2:11">
      <c r="B368" s="2"/>
      <c r="C368" s="2"/>
      <c r="F368" s="12"/>
      <c r="G368" s="3"/>
      <c r="H368" s="13"/>
      <c r="I368" s="55"/>
    </row>
    <row r="369" spans="2:11">
      <c r="B369" s="2"/>
      <c r="C369" s="2"/>
      <c r="F369" s="12"/>
      <c r="G369" s="3"/>
      <c r="H369" s="13"/>
      <c r="I369" s="55"/>
    </row>
    <row r="370" spans="2:11">
      <c r="B370" s="2"/>
      <c r="C370" s="2"/>
      <c r="F370" s="12"/>
      <c r="G370" s="3"/>
      <c r="H370" s="13"/>
      <c r="I370" s="55"/>
    </row>
    <row r="371" spans="2:11">
      <c r="B371" s="2"/>
      <c r="C371" s="2"/>
      <c r="F371" s="12"/>
      <c r="G371" s="3"/>
      <c r="H371" s="13"/>
      <c r="I371" s="55"/>
    </row>
    <row r="372" spans="2:11">
      <c r="B372" s="2"/>
      <c r="C372" s="2"/>
      <c r="F372" s="12"/>
      <c r="G372" s="3"/>
      <c r="H372" s="13"/>
      <c r="I372" s="55"/>
    </row>
    <row r="373" spans="2:11">
      <c r="B373" s="2"/>
      <c r="C373" s="2"/>
      <c r="F373" s="12"/>
      <c r="G373" s="10"/>
      <c r="H373" s="13"/>
      <c r="I373" s="55"/>
      <c r="K373" s="9"/>
    </row>
    <row r="374" spans="2:11">
      <c r="B374" s="2"/>
      <c r="C374" s="2"/>
      <c r="F374" s="12"/>
      <c r="G374" s="3"/>
      <c r="H374" s="13"/>
      <c r="I374" s="55"/>
    </row>
    <row r="375" spans="2:11">
      <c r="B375" s="2"/>
      <c r="C375" s="2"/>
      <c r="F375" s="12"/>
      <c r="G375" s="3"/>
      <c r="H375" s="13"/>
      <c r="I375" s="55"/>
    </row>
    <row r="376" spans="2:11">
      <c r="B376" s="2"/>
      <c r="C376" s="2"/>
      <c r="F376" s="12"/>
      <c r="G376" s="3"/>
      <c r="H376" s="13"/>
      <c r="I376" s="55"/>
    </row>
    <row r="377" spans="2:11">
      <c r="B377" s="2"/>
      <c r="C377" s="2"/>
      <c r="F377" s="12"/>
      <c r="G377" s="3"/>
      <c r="H377" s="13"/>
      <c r="I377" s="55"/>
    </row>
    <row r="378" spans="2:11">
      <c r="B378" s="2"/>
      <c r="C378" s="2"/>
      <c r="F378" s="12"/>
      <c r="G378" s="3"/>
      <c r="H378" s="13"/>
      <c r="I378" s="55"/>
    </row>
    <row r="379" spans="2:11">
      <c r="B379" s="2"/>
      <c r="C379" s="2"/>
      <c r="F379" s="12"/>
      <c r="G379" s="3"/>
      <c r="H379" s="13"/>
      <c r="I379" s="55"/>
    </row>
    <row r="380" spans="2:11">
      <c r="B380" s="2"/>
      <c r="C380" s="2"/>
      <c r="F380" s="12"/>
      <c r="G380" s="10"/>
      <c r="H380" s="13"/>
      <c r="I380" s="55"/>
      <c r="K380" s="9"/>
    </row>
    <row r="381" spans="2:11">
      <c r="B381" s="2"/>
      <c r="C381" s="2"/>
      <c r="F381" s="12"/>
      <c r="G381" s="3"/>
      <c r="H381" s="13"/>
      <c r="I381" s="55"/>
    </row>
    <row r="382" spans="2:11">
      <c r="B382" s="2"/>
      <c r="C382" s="2"/>
      <c r="F382" s="12"/>
      <c r="G382" s="3"/>
      <c r="H382" s="13"/>
      <c r="I382" s="55"/>
    </row>
    <row r="383" spans="2:11">
      <c r="B383" s="2"/>
      <c r="C383" s="2"/>
      <c r="F383" s="12"/>
      <c r="G383" s="3"/>
      <c r="H383" s="13"/>
      <c r="I383" s="55"/>
    </row>
    <row r="384" spans="2:11">
      <c r="B384" s="2"/>
      <c r="C384" s="2"/>
      <c r="F384" s="12"/>
      <c r="G384" s="3"/>
      <c r="H384" s="13"/>
      <c r="I384" s="55"/>
    </row>
    <row r="385" spans="2:11">
      <c r="B385" s="2"/>
      <c r="C385" s="2"/>
      <c r="F385" s="12"/>
      <c r="G385" s="3"/>
      <c r="H385" s="13"/>
      <c r="I385" s="55"/>
    </row>
    <row r="386" spans="2:11">
      <c r="B386" s="2"/>
      <c r="C386" s="2"/>
      <c r="F386" s="12"/>
      <c r="G386" s="3"/>
      <c r="H386" s="13"/>
      <c r="I386" s="55"/>
    </row>
    <row r="387" spans="2:11">
      <c r="B387" s="2"/>
      <c r="C387" s="2"/>
      <c r="F387" s="12"/>
      <c r="G387" s="10"/>
      <c r="H387" s="13"/>
      <c r="I387" s="55"/>
      <c r="K387" s="9"/>
    </row>
    <row r="388" spans="2:11">
      <c r="B388" s="2"/>
      <c r="C388" s="2"/>
      <c r="F388" s="12"/>
      <c r="G388" s="3"/>
      <c r="H388" s="13"/>
      <c r="I388" s="55"/>
    </row>
    <row r="389" spans="2:11">
      <c r="B389" s="2"/>
      <c r="C389" s="2"/>
      <c r="F389" s="12"/>
      <c r="G389" s="3"/>
      <c r="H389" s="13"/>
      <c r="I389" s="55"/>
    </row>
    <row r="390" spans="2:11">
      <c r="B390" s="2"/>
      <c r="C390" s="2"/>
      <c r="F390" s="12"/>
      <c r="G390" s="3"/>
      <c r="H390" s="13"/>
      <c r="I390" s="55"/>
    </row>
    <row r="391" spans="2:11">
      <c r="B391" s="2"/>
      <c r="C391" s="2"/>
      <c r="F391" s="12"/>
      <c r="G391" s="3"/>
      <c r="H391" s="13"/>
      <c r="I391" s="55"/>
    </row>
    <row r="392" spans="2:11">
      <c r="B392" s="2"/>
      <c r="C392" s="2"/>
      <c r="F392" s="12"/>
      <c r="G392" s="3"/>
      <c r="H392" s="13"/>
      <c r="I392" s="55"/>
    </row>
    <row r="393" spans="2:11">
      <c r="B393" s="2"/>
      <c r="C393" s="2"/>
      <c r="F393" s="12"/>
      <c r="G393" s="3"/>
      <c r="H393" s="13"/>
      <c r="I393" s="55"/>
    </row>
    <row r="394" spans="2:11">
      <c r="B394" s="2"/>
      <c r="C394" s="2"/>
      <c r="F394" s="12"/>
      <c r="G394" s="10"/>
      <c r="H394" s="13"/>
      <c r="I394" s="55"/>
      <c r="K394" s="9"/>
    </row>
    <row r="395" spans="2:11">
      <c r="B395" s="2"/>
      <c r="C395" s="2"/>
      <c r="F395" s="12"/>
      <c r="G395" s="3"/>
      <c r="H395" s="13"/>
      <c r="I395" s="55"/>
    </row>
    <row r="396" spans="2:11">
      <c r="B396" s="2"/>
      <c r="C396" s="2"/>
      <c r="F396" s="12"/>
      <c r="G396" s="3"/>
      <c r="H396" s="13"/>
      <c r="I396" s="55"/>
    </row>
    <row r="397" spans="2:11">
      <c r="B397" s="2"/>
      <c r="C397" s="2"/>
      <c r="F397" s="12"/>
      <c r="G397" s="3"/>
      <c r="H397" s="13"/>
      <c r="I397" s="55"/>
    </row>
    <row r="398" spans="2:11">
      <c r="B398" s="2"/>
      <c r="C398" s="2"/>
      <c r="F398" s="12"/>
      <c r="G398" s="3"/>
      <c r="H398" s="13"/>
      <c r="I398" s="55"/>
    </row>
    <row r="399" spans="2:11">
      <c r="B399" s="2"/>
      <c r="C399" s="2"/>
      <c r="F399" s="12"/>
      <c r="G399" s="3"/>
      <c r="H399" s="13"/>
      <c r="I399" s="55"/>
    </row>
    <row r="400" spans="2:11">
      <c r="B400" s="2"/>
      <c r="C400" s="2"/>
      <c r="F400" s="12"/>
      <c r="G400" s="3"/>
      <c r="H400" s="13"/>
      <c r="I400" s="55"/>
    </row>
    <row r="401" spans="2:11">
      <c r="B401" s="2"/>
      <c r="C401" s="2"/>
      <c r="F401" s="12"/>
      <c r="G401" s="10"/>
      <c r="H401" s="13"/>
      <c r="I401" s="55"/>
      <c r="K401" s="9"/>
    </row>
    <row r="402" spans="2:11">
      <c r="B402" s="2"/>
      <c r="C402" s="2"/>
      <c r="F402" s="12"/>
      <c r="G402" s="3"/>
      <c r="H402" s="13"/>
      <c r="I402" s="55"/>
    </row>
    <row r="403" spans="2:11">
      <c r="B403" s="2"/>
      <c r="C403" s="2"/>
      <c r="F403" s="12"/>
      <c r="G403" s="3"/>
      <c r="H403" s="13"/>
      <c r="I403" s="55"/>
    </row>
    <row r="404" spans="2:11">
      <c r="B404" s="2"/>
      <c r="C404" s="2"/>
      <c r="F404" s="12"/>
      <c r="G404" s="3"/>
      <c r="H404" s="13"/>
      <c r="I404" s="55"/>
    </row>
    <row r="405" spans="2:11">
      <c r="B405" s="2"/>
      <c r="C405" s="2"/>
      <c r="F405" s="12"/>
      <c r="G405" s="3"/>
      <c r="H405" s="13"/>
      <c r="I405" s="55"/>
    </row>
    <row r="406" spans="2:11">
      <c r="B406" s="2"/>
      <c r="C406" s="2"/>
      <c r="F406" s="12"/>
      <c r="G406" s="3"/>
      <c r="H406" s="13"/>
      <c r="I406" s="55"/>
    </row>
    <row r="407" spans="2:11">
      <c r="B407" s="2"/>
      <c r="C407" s="2"/>
      <c r="F407" s="12"/>
      <c r="G407" s="3"/>
      <c r="H407" s="13"/>
      <c r="I407" s="55"/>
    </row>
    <row r="408" spans="2:11">
      <c r="B408" s="2"/>
      <c r="C408" s="2"/>
      <c r="F408" s="12"/>
      <c r="G408" s="10"/>
      <c r="H408" s="13"/>
      <c r="I408" s="55"/>
      <c r="K408" s="9"/>
    </row>
    <row r="409" spans="2:11">
      <c r="B409" s="2"/>
      <c r="C409" s="2"/>
      <c r="F409" s="12"/>
      <c r="G409" s="3"/>
      <c r="H409" s="13"/>
      <c r="I409" s="55"/>
    </row>
    <row r="410" spans="2:11">
      <c r="B410" s="2"/>
      <c r="C410" s="2"/>
      <c r="F410" s="12"/>
      <c r="G410" s="3"/>
      <c r="H410" s="13"/>
      <c r="I410" s="55"/>
    </row>
    <row r="411" spans="2:11">
      <c r="B411" s="2"/>
      <c r="C411" s="2"/>
      <c r="F411" s="12"/>
      <c r="G411" s="3"/>
      <c r="H411" s="13"/>
      <c r="I411" s="55"/>
    </row>
    <row r="412" spans="2:11">
      <c r="B412" s="2"/>
      <c r="C412" s="2"/>
      <c r="F412" s="12"/>
      <c r="G412" s="3"/>
      <c r="H412" s="13"/>
      <c r="I412" s="55"/>
    </row>
    <row r="413" spans="2:11">
      <c r="B413" s="2"/>
      <c r="C413" s="2"/>
      <c r="F413" s="12"/>
      <c r="G413" s="3"/>
      <c r="H413" s="13"/>
      <c r="I413" s="55"/>
    </row>
    <row r="414" spans="2:11">
      <c r="B414" s="2"/>
      <c r="C414" s="2"/>
      <c r="F414" s="12"/>
      <c r="G414" s="3"/>
      <c r="H414" s="13"/>
      <c r="I414" s="55"/>
    </row>
    <row r="415" spans="2:11">
      <c r="B415" s="2"/>
      <c r="C415" s="2"/>
      <c r="F415" s="12"/>
      <c r="G415" s="10"/>
      <c r="H415" s="13"/>
      <c r="I415" s="55"/>
      <c r="K415" s="9"/>
    </row>
    <row r="416" spans="2:11">
      <c r="B416" s="2"/>
      <c r="C416" s="2"/>
      <c r="F416" s="12"/>
      <c r="G416" s="3"/>
      <c r="H416" s="13"/>
      <c r="I416" s="55"/>
    </row>
    <row r="417" spans="2:11">
      <c r="B417" s="2"/>
      <c r="C417" s="2"/>
      <c r="F417" s="12"/>
      <c r="G417" s="3"/>
      <c r="H417" s="13"/>
      <c r="I417" s="55"/>
    </row>
    <row r="418" spans="2:11">
      <c r="B418" s="2"/>
      <c r="C418" s="2"/>
      <c r="F418" s="12"/>
      <c r="G418" s="3"/>
      <c r="H418" s="13"/>
      <c r="I418" s="55"/>
    </row>
    <row r="419" spans="2:11">
      <c r="B419" s="2"/>
      <c r="C419" s="2"/>
      <c r="F419" s="12"/>
      <c r="G419" s="3"/>
      <c r="H419" s="13"/>
      <c r="I419" s="55"/>
    </row>
    <row r="420" spans="2:11">
      <c r="B420" s="2"/>
      <c r="C420" s="2"/>
      <c r="F420" s="12"/>
      <c r="G420" s="3"/>
      <c r="H420" s="13"/>
      <c r="I420" s="55"/>
    </row>
    <row r="421" spans="2:11">
      <c r="B421" s="2"/>
      <c r="C421" s="2"/>
      <c r="F421" s="12"/>
      <c r="G421" s="3"/>
      <c r="H421" s="13"/>
      <c r="I421" s="55"/>
    </row>
    <row r="422" spans="2:11">
      <c r="B422" s="2"/>
      <c r="C422" s="2"/>
      <c r="F422" s="12"/>
      <c r="G422" s="10"/>
      <c r="H422" s="13"/>
      <c r="I422" s="55"/>
      <c r="K422" s="9"/>
    </row>
    <row r="423" spans="2:11">
      <c r="B423" s="2"/>
      <c r="C423" s="2"/>
      <c r="F423" s="12"/>
      <c r="G423" s="3"/>
      <c r="H423" s="13"/>
      <c r="I423" s="55"/>
    </row>
    <row r="424" spans="2:11">
      <c r="B424" s="2"/>
      <c r="C424" s="2"/>
      <c r="F424" s="12"/>
      <c r="G424" s="3"/>
      <c r="H424" s="13"/>
      <c r="I424" s="55"/>
    </row>
    <row r="425" spans="2:11">
      <c r="B425" s="2"/>
      <c r="C425" s="2"/>
      <c r="F425" s="12"/>
      <c r="G425" s="3"/>
      <c r="H425" s="13"/>
      <c r="I425" s="55"/>
    </row>
    <row r="426" spans="2:11">
      <c r="B426" s="2"/>
      <c r="C426" s="2"/>
      <c r="F426" s="12"/>
      <c r="G426" s="3"/>
      <c r="H426" s="13"/>
      <c r="I426" s="55"/>
    </row>
    <row r="427" spans="2:11">
      <c r="B427" s="2"/>
      <c r="C427" s="2"/>
      <c r="F427" s="12"/>
      <c r="G427" s="3"/>
      <c r="H427" s="13"/>
      <c r="I427" s="55"/>
    </row>
    <row r="428" spans="2:11">
      <c r="B428" s="2"/>
      <c r="C428" s="2"/>
      <c r="F428" s="12"/>
      <c r="G428" s="3"/>
      <c r="H428" s="13"/>
      <c r="I428" s="55"/>
    </row>
    <row r="429" spans="2:11">
      <c r="B429" s="2"/>
      <c r="C429" s="2"/>
      <c r="F429" s="12"/>
      <c r="G429" s="10"/>
      <c r="H429" s="13"/>
      <c r="I429" s="55"/>
      <c r="K429" s="9"/>
    </row>
    <row r="430" spans="2:11">
      <c r="B430" s="2"/>
      <c r="C430" s="2"/>
      <c r="F430" s="12"/>
      <c r="G430" s="3"/>
      <c r="H430" s="13"/>
      <c r="I430" s="55"/>
    </row>
    <row r="431" spans="2:11">
      <c r="B431" s="2"/>
      <c r="C431" s="2"/>
      <c r="F431" s="12"/>
      <c r="G431" s="3"/>
      <c r="H431" s="13"/>
      <c r="I431" s="55"/>
    </row>
    <row r="432" spans="2:11">
      <c r="B432" s="2"/>
      <c r="C432" s="2"/>
      <c r="F432" s="12"/>
      <c r="G432" s="3"/>
      <c r="H432" s="13"/>
      <c r="I432" s="55"/>
    </row>
    <row r="433" spans="2:11">
      <c r="B433" s="2"/>
      <c r="C433" s="2"/>
      <c r="F433" s="12"/>
      <c r="G433" s="3"/>
      <c r="H433" s="13"/>
      <c r="I433" s="55"/>
    </row>
    <row r="434" spans="2:11">
      <c r="B434" s="2"/>
      <c r="C434" s="2"/>
      <c r="F434" s="12"/>
      <c r="G434" s="3"/>
      <c r="H434" s="13"/>
      <c r="I434" s="55"/>
    </row>
    <row r="435" spans="2:11">
      <c r="B435" s="2"/>
      <c r="C435" s="2"/>
      <c r="F435" s="12"/>
      <c r="G435" s="3"/>
      <c r="H435" s="13"/>
      <c r="I435" s="55"/>
    </row>
    <row r="436" spans="2:11">
      <c r="B436" s="2"/>
      <c r="C436" s="2"/>
      <c r="F436" s="12"/>
      <c r="G436" s="10"/>
      <c r="H436" s="13"/>
      <c r="I436" s="55"/>
      <c r="K436" s="9"/>
    </row>
    <row r="437" spans="2:11">
      <c r="B437" s="2"/>
      <c r="C437" s="2"/>
      <c r="F437" s="12"/>
      <c r="G437" s="3"/>
      <c r="H437" s="13"/>
      <c r="I437" s="55"/>
    </row>
    <row r="438" spans="2:11">
      <c r="B438" s="2"/>
      <c r="C438" s="2"/>
      <c r="F438" s="12"/>
      <c r="G438" s="3"/>
      <c r="H438" s="13"/>
      <c r="I438" s="55"/>
    </row>
    <row r="439" spans="2:11">
      <c r="B439" s="2"/>
      <c r="C439" s="2"/>
      <c r="F439" s="12"/>
      <c r="G439" s="3"/>
      <c r="H439" s="13"/>
      <c r="I439" s="55"/>
    </row>
    <row r="440" spans="2:11">
      <c r="B440" s="2"/>
      <c r="C440" s="2"/>
      <c r="F440" s="12"/>
      <c r="G440" s="3"/>
      <c r="H440" s="13"/>
      <c r="I440" s="55"/>
    </row>
    <row r="441" spans="2:11">
      <c r="B441" s="2"/>
      <c r="C441" s="2"/>
      <c r="F441" s="12"/>
      <c r="G441" s="3"/>
      <c r="H441" s="13"/>
      <c r="I441" s="55"/>
    </row>
    <row r="442" spans="2:11">
      <c r="B442" s="2"/>
      <c r="C442" s="2"/>
      <c r="F442" s="12"/>
      <c r="G442" s="3"/>
      <c r="H442" s="13"/>
      <c r="I442" s="55"/>
    </row>
    <row r="443" spans="2:11">
      <c r="B443" s="2"/>
      <c r="C443" s="2"/>
      <c r="F443" s="12"/>
      <c r="G443" s="10"/>
      <c r="H443" s="13"/>
      <c r="I443" s="55"/>
      <c r="K443" s="9"/>
    </row>
    <row r="444" spans="2:11">
      <c r="B444" s="2"/>
      <c r="C444" s="2"/>
      <c r="F444" s="12"/>
      <c r="G444" s="3"/>
      <c r="H444" s="13"/>
      <c r="I444" s="55"/>
    </row>
    <row r="445" spans="2:11">
      <c r="B445" s="2"/>
      <c r="C445" s="2"/>
      <c r="F445" s="12"/>
      <c r="G445" s="3"/>
      <c r="H445" s="13"/>
      <c r="I445" s="55"/>
    </row>
    <row r="446" spans="2:11">
      <c r="B446" s="2"/>
      <c r="C446" s="2"/>
      <c r="F446" s="12"/>
      <c r="G446" s="3"/>
      <c r="H446" s="13"/>
      <c r="I446" s="55"/>
    </row>
    <row r="447" spans="2:11">
      <c r="B447" s="2"/>
      <c r="C447" s="2"/>
      <c r="F447" s="12"/>
      <c r="G447" s="3"/>
      <c r="H447" s="13"/>
      <c r="I447" s="55"/>
    </row>
    <row r="448" spans="2:11">
      <c r="B448" s="2"/>
      <c r="C448" s="2"/>
      <c r="F448" s="12"/>
      <c r="G448" s="3"/>
      <c r="H448" s="13"/>
      <c r="I448" s="55"/>
    </row>
    <row r="449" spans="2:11">
      <c r="B449" s="2"/>
      <c r="C449" s="2"/>
      <c r="F449" s="12"/>
      <c r="G449" s="3"/>
      <c r="H449" s="13"/>
      <c r="I449" s="55"/>
    </row>
    <row r="450" spans="2:11">
      <c r="B450" s="2"/>
      <c r="C450" s="2"/>
      <c r="F450" s="12"/>
      <c r="G450" s="10"/>
      <c r="H450" s="13"/>
      <c r="I450" s="55"/>
      <c r="K450" s="9"/>
    </row>
    <row r="451" spans="2:11">
      <c r="B451" s="2"/>
      <c r="C451" s="2"/>
      <c r="F451" s="12"/>
      <c r="G451" s="3"/>
      <c r="H451" s="13"/>
      <c r="I451" s="55"/>
    </row>
    <row r="452" spans="2:11">
      <c r="B452" s="2"/>
      <c r="C452" s="2"/>
      <c r="F452" s="12"/>
      <c r="G452" s="3"/>
      <c r="H452" s="13"/>
      <c r="I452" s="55"/>
    </row>
    <row r="453" spans="2:11">
      <c r="B453" s="2"/>
      <c r="C453" s="2"/>
      <c r="F453" s="12"/>
      <c r="G453" s="3"/>
      <c r="H453" s="13"/>
      <c r="I453" s="55"/>
    </row>
    <row r="454" spans="2:11">
      <c r="B454" s="2"/>
      <c r="C454" s="2"/>
      <c r="F454" s="12"/>
      <c r="G454" s="3"/>
      <c r="H454" s="13"/>
      <c r="I454" s="55"/>
    </row>
    <row r="455" spans="2:11">
      <c r="B455" s="2"/>
      <c r="C455" s="2"/>
      <c r="F455" s="12"/>
      <c r="G455" s="3"/>
      <c r="H455" s="13"/>
      <c r="I455" s="55"/>
    </row>
    <row r="456" spans="2:11">
      <c r="B456" s="2"/>
      <c r="C456" s="2"/>
      <c r="F456" s="12"/>
      <c r="G456" s="3"/>
      <c r="H456" s="13"/>
      <c r="I456" s="55"/>
    </row>
    <row r="457" spans="2:11">
      <c r="B457" s="2"/>
      <c r="C457" s="2"/>
      <c r="F457" s="12"/>
      <c r="G457" s="10"/>
      <c r="H457" s="13"/>
      <c r="I457" s="55"/>
      <c r="K457" s="9"/>
    </row>
    <row r="458" spans="2:11">
      <c r="B458" s="2"/>
      <c r="C458" s="2"/>
      <c r="F458" s="12"/>
      <c r="G458" s="3"/>
      <c r="H458" s="13"/>
      <c r="I458" s="55"/>
    </row>
    <row r="459" spans="2:11">
      <c r="B459" s="2"/>
      <c r="C459" s="2"/>
      <c r="F459" s="12"/>
      <c r="G459" s="3"/>
      <c r="H459" s="13"/>
      <c r="I459" s="55"/>
    </row>
    <row r="460" spans="2:11">
      <c r="B460" s="2"/>
      <c r="C460" s="2"/>
      <c r="F460" s="12"/>
      <c r="G460" s="3"/>
      <c r="H460" s="13"/>
      <c r="I460" s="55"/>
    </row>
    <row r="461" spans="2:11">
      <c r="B461" s="2"/>
      <c r="C461" s="2"/>
      <c r="F461" s="12"/>
      <c r="G461" s="3"/>
      <c r="H461" s="13"/>
      <c r="I461" s="55"/>
    </row>
    <row r="462" spans="2:11">
      <c r="B462" s="2"/>
      <c r="C462" s="2"/>
      <c r="F462" s="12"/>
      <c r="G462" s="3"/>
      <c r="H462" s="13"/>
      <c r="I462" s="55"/>
    </row>
    <row r="463" spans="2:11">
      <c r="B463" s="2"/>
      <c r="C463" s="2"/>
      <c r="F463" s="12"/>
      <c r="G463" s="3"/>
      <c r="H463" s="13"/>
      <c r="I463" s="55"/>
    </row>
    <row r="464" spans="2:11">
      <c r="B464" s="2"/>
      <c r="C464" s="2"/>
      <c r="F464" s="12"/>
      <c r="G464" s="10"/>
      <c r="H464" s="13"/>
      <c r="I464" s="55"/>
      <c r="K464" s="9"/>
    </row>
    <row r="465" spans="2:11">
      <c r="B465" s="2"/>
      <c r="C465" s="2"/>
      <c r="F465" s="12"/>
      <c r="G465" s="3"/>
      <c r="H465" s="13"/>
      <c r="I465" s="55"/>
    </row>
    <row r="466" spans="2:11">
      <c r="B466" s="2"/>
      <c r="C466" s="2"/>
      <c r="F466" s="12"/>
      <c r="G466" s="3"/>
      <c r="H466" s="13"/>
      <c r="I466" s="55"/>
    </row>
    <row r="467" spans="2:11">
      <c r="B467" s="2"/>
      <c r="C467" s="2"/>
      <c r="F467" s="12"/>
      <c r="G467" s="3"/>
      <c r="H467" s="13"/>
      <c r="I467" s="55"/>
    </row>
    <row r="468" spans="2:11">
      <c r="B468" s="2"/>
      <c r="C468" s="2"/>
      <c r="F468" s="12"/>
      <c r="G468" s="3"/>
      <c r="H468" s="13"/>
      <c r="I468" s="55"/>
    </row>
    <row r="469" spans="2:11">
      <c r="B469" s="2"/>
      <c r="C469" s="2"/>
      <c r="F469" s="12"/>
      <c r="G469" s="3"/>
      <c r="H469" s="13"/>
      <c r="I469" s="55"/>
    </row>
    <row r="470" spans="2:11">
      <c r="B470" s="2"/>
      <c r="C470" s="2"/>
      <c r="F470" s="12"/>
      <c r="G470" s="3"/>
      <c r="H470" s="13"/>
      <c r="I470" s="55"/>
    </row>
    <row r="471" spans="2:11">
      <c r="B471" s="2"/>
      <c r="C471" s="2"/>
      <c r="F471" s="12"/>
      <c r="G471" s="10"/>
      <c r="H471" s="13"/>
      <c r="I471" s="55"/>
      <c r="K471" s="9"/>
    </row>
    <row r="472" spans="2:11">
      <c r="B472" s="2"/>
      <c r="C472" s="2"/>
      <c r="F472" s="12"/>
      <c r="G472" s="3"/>
      <c r="H472" s="13"/>
      <c r="I472" s="55"/>
    </row>
    <row r="473" spans="2:11">
      <c r="B473" s="2"/>
      <c r="C473" s="2"/>
      <c r="F473" s="12"/>
      <c r="G473" s="3"/>
      <c r="H473" s="13"/>
      <c r="I473" s="55"/>
    </row>
    <row r="474" spans="2:11">
      <c r="B474" s="2"/>
      <c r="C474" s="2"/>
      <c r="F474" s="12"/>
      <c r="G474" s="3"/>
      <c r="H474" s="13"/>
      <c r="I474" s="55"/>
    </row>
    <row r="475" spans="2:11">
      <c r="B475" s="2"/>
      <c r="C475" s="2"/>
      <c r="F475" s="12"/>
      <c r="G475" s="3"/>
      <c r="H475" s="13"/>
      <c r="I475" s="55"/>
    </row>
    <row r="476" spans="2:11">
      <c r="B476" s="2"/>
      <c r="C476" s="2"/>
      <c r="F476" s="12"/>
      <c r="G476" s="3"/>
      <c r="H476" s="13"/>
      <c r="I476" s="55"/>
    </row>
    <row r="477" spans="2:11">
      <c r="B477" s="2"/>
      <c r="C477" s="2"/>
      <c r="F477" s="12"/>
      <c r="G477" s="3"/>
      <c r="H477" s="13"/>
      <c r="I477" s="55"/>
    </row>
    <row r="478" spans="2:11">
      <c r="B478" s="2"/>
      <c r="C478" s="2"/>
      <c r="F478" s="12"/>
      <c r="G478" s="10"/>
      <c r="H478" s="13"/>
      <c r="I478" s="55"/>
      <c r="K478" s="9"/>
    </row>
    <row r="479" spans="2:11">
      <c r="B479" s="2"/>
      <c r="C479" s="2"/>
      <c r="F479" s="12"/>
      <c r="G479" s="3"/>
      <c r="H479" s="13"/>
      <c r="I479" s="55"/>
    </row>
    <row r="480" spans="2:11">
      <c r="B480" s="2"/>
      <c r="C480" s="2"/>
      <c r="F480" s="12"/>
      <c r="G480" s="3"/>
      <c r="H480" s="13"/>
      <c r="I480" s="55"/>
    </row>
    <row r="481" spans="2:11">
      <c r="B481" s="2"/>
      <c r="C481" s="2"/>
      <c r="F481" s="12"/>
      <c r="G481" s="3"/>
      <c r="H481" s="13"/>
      <c r="I481" s="55"/>
    </row>
    <row r="482" spans="2:11">
      <c r="B482" s="2"/>
      <c r="C482" s="2"/>
      <c r="F482" s="12"/>
      <c r="G482" s="3"/>
      <c r="H482" s="13"/>
      <c r="I482" s="55"/>
    </row>
    <row r="483" spans="2:11">
      <c r="B483" s="2"/>
      <c r="C483" s="2"/>
      <c r="F483" s="12"/>
      <c r="G483" s="3"/>
      <c r="H483" s="13"/>
      <c r="I483" s="55"/>
    </row>
    <row r="484" spans="2:11">
      <c r="B484" s="2"/>
      <c r="C484" s="2"/>
      <c r="F484" s="12"/>
      <c r="G484" s="3"/>
      <c r="H484" s="13"/>
      <c r="I484" s="55"/>
    </row>
    <row r="485" spans="2:11">
      <c r="B485" s="2"/>
      <c r="C485" s="2"/>
      <c r="F485" s="12"/>
      <c r="G485" s="10"/>
      <c r="H485" s="13"/>
      <c r="I485" s="55"/>
      <c r="K485" s="9"/>
    </row>
    <row r="486" spans="2:11">
      <c r="B486" s="2"/>
      <c r="C486" s="2"/>
      <c r="F486" s="12"/>
      <c r="G486" s="3"/>
      <c r="H486" s="13"/>
      <c r="I486" s="55"/>
    </row>
    <row r="487" spans="2:11">
      <c r="B487" s="2"/>
      <c r="C487" s="2"/>
      <c r="F487" s="12"/>
      <c r="G487" s="3"/>
      <c r="H487" s="13"/>
      <c r="I487" s="55"/>
    </row>
    <row r="488" spans="2:11">
      <c r="B488" s="2"/>
      <c r="C488" s="2"/>
      <c r="F488" s="12"/>
      <c r="G488" s="3"/>
      <c r="H488" s="13"/>
      <c r="I488" s="55"/>
    </row>
    <row r="489" spans="2:11">
      <c r="B489" s="2"/>
      <c r="C489" s="2"/>
      <c r="F489" s="12"/>
      <c r="G489" s="3"/>
      <c r="H489" s="13"/>
      <c r="I489" s="55"/>
    </row>
    <row r="490" spans="2:11">
      <c r="B490" s="2"/>
      <c r="C490" s="2"/>
      <c r="F490" s="12"/>
      <c r="G490" s="3"/>
      <c r="H490" s="13"/>
      <c r="I490" s="55"/>
    </row>
    <row r="491" spans="2:11">
      <c r="B491" s="2"/>
      <c r="C491" s="2"/>
      <c r="F491" s="12"/>
      <c r="G491" s="3"/>
      <c r="H491" s="13"/>
      <c r="I491" s="55"/>
    </row>
    <row r="492" spans="2:11">
      <c r="B492" s="2"/>
      <c r="C492" s="2"/>
      <c r="F492" s="12"/>
      <c r="G492" s="10"/>
      <c r="H492" s="13"/>
      <c r="I492" s="55"/>
      <c r="K492" s="9"/>
    </row>
    <row r="493" spans="2:11">
      <c r="B493" s="2"/>
      <c r="C493" s="2"/>
      <c r="F493" s="12"/>
      <c r="G493" s="3"/>
      <c r="H493" s="13"/>
      <c r="I493" s="55"/>
    </row>
    <row r="494" spans="2:11">
      <c r="B494" s="2"/>
      <c r="C494" s="2"/>
      <c r="F494" s="12"/>
      <c r="G494" s="3"/>
      <c r="H494" s="13"/>
      <c r="I494" s="55"/>
    </row>
    <row r="495" spans="2:11">
      <c r="B495" s="2"/>
      <c r="C495" s="2"/>
      <c r="F495" s="12"/>
      <c r="G495" s="3"/>
      <c r="H495" s="13"/>
      <c r="I495" s="55"/>
    </row>
    <row r="496" spans="2:11">
      <c r="B496" s="2"/>
      <c r="C496" s="2"/>
      <c r="F496" s="12"/>
      <c r="G496" s="3"/>
      <c r="H496" s="13"/>
      <c r="I496" s="55"/>
    </row>
    <row r="497" spans="2:11">
      <c r="B497" s="2"/>
      <c r="C497" s="2"/>
      <c r="F497" s="12"/>
      <c r="G497" s="3"/>
      <c r="H497" s="13"/>
      <c r="I497" s="55"/>
    </row>
    <row r="498" spans="2:11">
      <c r="B498" s="2"/>
      <c r="C498" s="2"/>
      <c r="F498" s="12"/>
      <c r="G498" s="3"/>
      <c r="H498" s="13"/>
      <c r="I498" s="55"/>
    </row>
    <row r="499" spans="2:11">
      <c r="B499" s="2"/>
      <c r="C499" s="2"/>
      <c r="F499" s="12"/>
      <c r="G499" s="10"/>
      <c r="H499" s="13"/>
      <c r="I499" s="55"/>
      <c r="K499" s="9"/>
    </row>
    <row r="500" spans="2:11">
      <c r="B500" s="2"/>
      <c r="C500" s="2"/>
      <c r="F500" s="12"/>
      <c r="G500" s="3"/>
      <c r="H500" s="13"/>
      <c r="I500" s="55"/>
    </row>
    <row r="501" spans="2:11">
      <c r="B501" s="2"/>
      <c r="C501" s="2"/>
      <c r="F501" s="12"/>
      <c r="G501" s="3"/>
      <c r="H501" s="13"/>
      <c r="I501" s="55"/>
    </row>
    <row r="502" spans="2:11">
      <c r="B502" s="2"/>
      <c r="C502" s="2"/>
      <c r="F502" s="12"/>
      <c r="G502" s="3"/>
      <c r="H502" s="13"/>
      <c r="I502" s="55"/>
    </row>
    <row r="503" spans="2:11">
      <c r="B503" s="2"/>
      <c r="C503" s="2"/>
      <c r="F503" s="12"/>
      <c r="G503" s="3"/>
      <c r="H503" s="13"/>
      <c r="I503" s="55"/>
    </row>
    <row r="504" spans="2:11">
      <c r="B504" s="2"/>
      <c r="C504" s="2"/>
      <c r="F504" s="12"/>
      <c r="G504" s="3"/>
      <c r="H504" s="13"/>
      <c r="I504" s="55"/>
    </row>
    <row r="505" spans="2:11">
      <c r="B505" s="2"/>
      <c r="C505" s="2"/>
      <c r="F505" s="12"/>
      <c r="G505" s="3"/>
      <c r="H505" s="13"/>
      <c r="I505" s="55"/>
    </row>
    <row r="506" spans="2:11">
      <c r="B506" s="2"/>
      <c r="C506" s="2"/>
      <c r="F506" s="12"/>
      <c r="G506" s="10"/>
      <c r="H506" s="13"/>
      <c r="I506" s="55"/>
      <c r="K506" s="9"/>
    </row>
    <row r="507" spans="2:11">
      <c r="B507" s="2"/>
      <c r="C507" s="2"/>
      <c r="F507" s="12"/>
      <c r="G507" s="3"/>
      <c r="H507" s="13"/>
      <c r="I507" s="55"/>
    </row>
    <row r="508" spans="2:11">
      <c r="B508" s="2"/>
      <c r="C508" s="2"/>
      <c r="F508" s="12"/>
      <c r="G508" s="3"/>
      <c r="H508" s="13"/>
      <c r="I508" s="55"/>
    </row>
    <row r="509" spans="2:11">
      <c r="B509" s="2"/>
      <c r="C509" s="2"/>
      <c r="F509" s="12"/>
      <c r="G509" s="3"/>
      <c r="H509" s="13"/>
      <c r="I509" s="55"/>
    </row>
    <row r="510" spans="2:11">
      <c r="B510" s="2"/>
      <c r="C510" s="2"/>
      <c r="F510" s="12"/>
      <c r="G510" s="3"/>
      <c r="H510" s="13"/>
      <c r="I510" s="55"/>
    </row>
    <row r="511" spans="2:11">
      <c r="B511" s="2"/>
      <c r="C511" s="2"/>
      <c r="F511" s="12"/>
      <c r="G511" s="3"/>
      <c r="H511" s="13"/>
      <c r="I511" s="55"/>
    </row>
    <row r="512" spans="2:11">
      <c r="B512" s="2"/>
      <c r="C512" s="2"/>
      <c r="F512" s="12"/>
      <c r="G512" s="3"/>
      <c r="H512" s="13"/>
      <c r="I512" s="55"/>
    </row>
    <row r="513" spans="2:11">
      <c r="B513" s="2"/>
      <c r="C513" s="2"/>
      <c r="F513" s="12"/>
      <c r="G513" s="10"/>
      <c r="H513" s="13"/>
      <c r="I513" s="55"/>
      <c r="K513" s="9"/>
    </row>
    <row r="514" spans="2:11">
      <c r="B514" s="2"/>
      <c r="C514" s="2"/>
      <c r="F514" s="12"/>
      <c r="G514" s="3"/>
      <c r="H514" s="13"/>
      <c r="I514" s="55"/>
    </row>
    <row r="515" spans="2:11">
      <c r="B515" s="2"/>
      <c r="C515" s="2"/>
      <c r="F515" s="12"/>
      <c r="G515" s="3"/>
      <c r="H515" s="13"/>
      <c r="I515" s="55"/>
    </row>
    <row r="516" spans="2:11">
      <c r="B516" s="2"/>
      <c r="C516" s="2"/>
      <c r="F516" s="12"/>
      <c r="G516" s="3"/>
      <c r="H516" s="13"/>
      <c r="I516" s="55"/>
    </row>
    <row r="517" spans="2:11">
      <c r="B517" s="2"/>
      <c r="C517" s="2"/>
      <c r="F517" s="12"/>
      <c r="G517" s="3"/>
      <c r="H517" s="13"/>
      <c r="I517" s="55"/>
    </row>
    <row r="518" spans="2:11">
      <c r="B518" s="2"/>
      <c r="C518" s="2"/>
      <c r="F518" s="12"/>
      <c r="G518" s="3"/>
      <c r="H518" s="13"/>
      <c r="I518" s="55"/>
    </row>
    <row r="519" spans="2:11">
      <c r="B519" s="2"/>
      <c r="C519" s="2"/>
      <c r="F519" s="12"/>
      <c r="G519" s="3"/>
      <c r="H519" s="13"/>
      <c r="I519" s="55"/>
    </row>
    <row r="520" spans="2:11">
      <c r="B520" s="2"/>
      <c r="C520" s="2"/>
      <c r="F520" s="12"/>
      <c r="G520" s="10"/>
      <c r="H520" s="13"/>
      <c r="I520" s="55"/>
      <c r="K520" s="9"/>
    </row>
    <row r="521" spans="2:11">
      <c r="B521" s="2"/>
      <c r="C521" s="2"/>
      <c r="F521" s="12"/>
      <c r="G521" s="3"/>
      <c r="H521" s="13"/>
      <c r="I521" s="55"/>
    </row>
    <row r="522" spans="2:11">
      <c r="B522" s="2"/>
      <c r="C522" s="2"/>
      <c r="F522" s="12"/>
      <c r="G522" s="3"/>
      <c r="H522" s="13"/>
      <c r="I522" s="55"/>
    </row>
    <row r="523" spans="2:11">
      <c r="B523" s="2"/>
      <c r="C523" s="2"/>
      <c r="F523" s="12"/>
      <c r="G523" s="3"/>
      <c r="H523" s="13"/>
      <c r="I523" s="55"/>
    </row>
    <row r="524" spans="2:11">
      <c r="B524" s="2"/>
      <c r="C524" s="2"/>
      <c r="F524" s="12"/>
      <c r="G524" s="3"/>
      <c r="H524" s="13"/>
      <c r="I524" s="55"/>
    </row>
    <row r="525" spans="2:11">
      <c r="B525" s="2"/>
      <c r="C525" s="2"/>
      <c r="F525" s="12"/>
      <c r="G525" s="3"/>
      <c r="H525" s="13"/>
      <c r="I525" s="55"/>
    </row>
    <row r="526" spans="2:11">
      <c r="B526" s="2"/>
      <c r="C526" s="2"/>
      <c r="F526" s="12"/>
      <c r="G526" s="3"/>
      <c r="H526" s="13"/>
      <c r="I526" s="55"/>
    </row>
    <row r="527" spans="2:11">
      <c r="B527" s="2"/>
      <c r="C527" s="2"/>
      <c r="F527" s="12"/>
      <c r="G527" s="10"/>
      <c r="H527" s="13"/>
      <c r="I527" s="55"/>
      <c r="K527" s="9"/>
    </row>
    <row r="528" spans="2:11">
      <c r="B528" s="2"/>
      <c r="C528" s="2"/>
      <c r="F528" s="12"/>
      <c r="G528" s="3"/>
      <c r="H528" s="13"/>
      <c r="I528" s="55"/>
    </row>
    <row r="529" spans="2:11">
      <c r="B529" s="2"/>
      <c r="C529" s="2"/>
      <c r="F529" s="12"/>
      <c r="G529" s="3"/>
      <c r="H529" s="13"/>
      <c r="I529" s="55"/>
    </row>
    <row r="530" spans="2:11">
      <c r="B530" s="2"/>
      <c r="C530" s="2"/>
      <c r="F530" s="12"/>
      <c r="G530" s="3"/>
      <c r="H530" s="13"/>
      <c r="I530" s="55"/>
    </row>
    <row r="531" spans="2:11">
      <c r="B531" s="2"/>
      <c r="C531" s="2"/>
      <c r="F531" s="12"/>
      <c r="G531" s="3"/>
      <c r="H531" s="13"/>
      <c r="I531" s="55"/>
    </row>
    <row r="532" spans="2:11">
      <c r="B532" s="2"/>
      <c r="C532" s="2"/>
      <c r="F532" s="12"/>
      <c r="G532" s="3"/>
      <c r="H532" s="13"/>
      <c r="I532" s="55"/>
    </row>
    <row r="533" spans="2:11">
      <c r="B533" s="2"/>
      <c r="C533" s="2"/>
      <c r="F533" s="12"/>
      <c r="G533" s="3"/>
      <c r="H533" s="13"/>
      <c r="I533" s="55"/>
    </row>
    <row r="534" spans="2:11">
      <c r="B534" s="2"/>
      <c r="C534" s="2"/>
      <c r="F534" s="12"/>
      <c r="G534" s="10"/>
      <c r="H534" s="13"/>
      <c r="I534" s="55"/>
      <c r="K534" s="9"/>
    </row>
    <row r="535" spans="2:11">
      <c r="B535" s="2"/>
      <c r="C535" s="2"/>
      <c r="F535" s="12"/>
      <c r="G535" s="3"/>
      <c r="H535" s="13"/>
      <c r="I535" s="55"/>
    </row>
    <row r="536" spans="2:11">
      <c r="B536" s="2"/>
      <c r="C536" s="2"/>
      <c r="F536" s="12"/>
      <c r="G536" s="3"/>
      <c r="H536" s="13"/>
      <c r="I536" s="55"/>
    </row>
    <row r="537" spans="2:11">
      <c r="B537" s="2"/>
      <c r="C537" s="2"/>
      <c r="F537" s="12"/>
      <c r="G537" s="3"/>
      <c r="H537" s="13"/>
      <c r="I537" s="55"/>
    </row>
    <row r="538" spans="2:11">
      <c r="B538" s="2"/>
      <c r="C538" s="2"/>
      <c r="F538" s="12"/>
      <c r="G538" s="3"/>
      <c r="H538" s="13"/>
      <c r="I538" s="55"/>
    </row>
    <row r="539" spans="2:11">
      <c r="B539" s="2"/>
      <c r="C539" s="2"/>
      <c r="F539" s="12"/>
      <c r="G539" s="3"/>
      <c r="H539" s="13"/>
      <c r="I539" s="55"/>
    </row>
    <row r="540" spans="2:11">
      <c r="B540" s="2"/>
      <c r="C540" s="2"/>
      <c r="F540" s="12"/>
      <c r="G540" s="3"/>
      <c r="H540" s="13"/>
      <c r="I540" s="55"/>
    </row>
    <row r="541" spans="2:11">
      <c r="B541" s="2"/>
      <c r="C541" s="2"/>
      <c r="F541" s="12"/>
      <c r="G541" s="10"/>
      <c r="H541" s="13"/>
      <c r="I541" s="55"/>
      <c r="K541" s="9"/>
    </row>
    <row r="542" spans="2:11">
      <c r="B542" s="2"/>
      <c r="C542" s="2"/>
      <c r="F542" s="12"/>
      <c r="G542" s="3"/>
      <c r="H542" s="13"/>
      <c r="I542" s="55"/>
    </row>
    <row r="543" spans="2:11">
      <c r="B543" s="2"/>
      <c r="C543" s="2"/>
      <c r="F543" s="12"/>
      <c r="G543" s="3"/>
      <c r="H543" s="13"/>
      <c r="I543" s="55"/>
    </row>
    <row r="544" spans="2:11">
      <c r="B544" s="2"/>
      <c r="C544" s="2"/>
      <c r="F544" s="12"/>
      <c r="G544" s="3"/>
      <c r="H544" s="13"/>
      <c r="I544" s="55"/>
    </row>
    <row r="545" spans="2:11">
      <c r="B545" s="2"/>
      <c r="C545" s="2"/>
      <c r="F545" s="12"/>
      <c r="G545" s="3"/>
      <c r="H545" s="13"/>
      <c r="I545" s="55"/>
    </row>
    <row r="546" spans="2:11">
      <c r="B546" s="2"/>
      <c r="C546" s="2"/>
      <c r="F546" s="12"/>
      <c r="G546" s="3"/>
      <c r="H546" s="13"/>
      <c r="I546" s="55"/>
    </row>
    <row r="547" spans="2:11">
      <c r="B547" s="2"/>
      <c r="C547" s="2"/>
      <c r="F547" s="12"/>
      <c r="G547" s="3"/>
      <c r="H547" s="13"/>
      <c r="I547" s="55"/>
    </row>
    <row r="548" spans="2:11">
      <c r="B548" s="2"/>
      <c r="C548" s="2"/>
      <c r="F548" s="12"/>
      <c r="G548" s="10"/>
      <c r="H548" s="13"/>
      <c r="I548" s="55"/>
      <c r="K548" s="9"/>
    </row>
    <row r="549" spans="2:11">
      <c r="B549" s="2"/>
      <c r="C549" s="2"/>
      <c r="F549" s="12"/>
      <c r="G549" s="3"/>
      <c r="H549" s="13"/>
      <c r="I549" s="55"/>
    </row>
    <row r="550" spans="2:11">
      <c r="B550" s="2"/>
      <c r="C550" s="2"/>
      <c r="F550" s="12"/>
      <c r="G550" s="3"/>
      <c r="H550" s="13"/>
      <c r="I550" s="55"/>
    </row>
    <row r="551" spans="2:11">
      <c r="B551" s="2"/>
      <c r="C551" s="2"/>
      <c r="F551" s="12"/>
      <c r="G551" s="3"/>
      <c r="H551" s="13"/>
      <c r="I551" s="55"/>
    </row>
    <row r="552" spans="2:11">
      <c r="B552" s="2"/>
      <c r="C552" s="2"/>
      <c r="F552" s="12"/>
      <c r="G552" s="3"/>
      <c r="H552" s="13"/>
      <c r="I552" s="55"/>
    </row>
    <row r="553" spans="2:11">
      <c r="B553" s="2"/>
      <c r="C553" s="2"/>
      <c r="F553" s="12"/>
      <c r="G553" s="3"/>
      <c r="H553" s="13"/>
      <c r="I553" s="55"/>
    </row>
    <row r="554" spans="2:11">
      <c r="B554" s="2"/>
      <c r="C554" s="2"/>
      <c r="F554" s="12"/>
      <c r="G554" s="3"/>
      <c r="H554" s="13"/>
      <c r="I554" s="55"/>
    </row>
    <row r="555" spans="2:11">
      <c r="B555" s="2"/>
      <c r="C555" s="2"/>
      <c r="F555" s="12"/>
      <c r="G555" s="10"/>
      <c r="H555" s="13"/>
      <c r="I555" s="55"/>
      <c r="K555" s="9"/>
    </row>
    <row r="556" spans="2:11">
      <c r="B556" s="2"/>
      <c r="C556" s="2"/>
      <c r="F556" s="12"/>
      <c r="G556" s="3"/>
      <c r="H556" s="13"/>
      <c r="I556" s="55"/>
    </row>
    <row r="557" spans="2:11">
      <c r="B557" s="2"/>
      <c r="C557" s="2"/>
      <c r="F557" s="12"/>
      <c r="G557" s="3"/>
      <c r="H557" s="13"/>
      <c r="I557" s="55"/>
    </row>
    <row r="558" spans="2:11">
      <c r="B558" s="2"/>
      <c r="C558" s="2"/>
      <c r="F558" s="12"/>
      <c r="G558" s="3"/>
      <c r="H558" s="13"/>
      <c r="I558" s="55"/>
    </row>
    <row r="559" spans="2:11">
      <c r="B559" s="2"/>
      <c r="C559" s="2"/>
      <c r="F559" s="12"/>
      <c r="G559" s="3"/>
      <c r="H559" s="13"/>
      <c r="I559" s="55"/>
    </row>
    <row r="560" spans="2:11">
      <c r="B560" s="2"/>
      <c r="C560" s="2"/>
      <c r="F560" s="12"/>
      <c r="G560" s="3"/>
      <c r="H560" s="13"/>
      <c r="I560" s="55"/>
    </row>
    <row r="561" spans="2:11">
      <c r="B561" s="2"/>
      <c r="C561" s="2"/>
      <c r="F561" s="12"/>
      <c r="G561" s="3"/>
      <c r="H561" s="13"/>
      <c r="I561" s="55"/>
    </row>
    <row r="562" spans="2:11">
      <c r="B562" s="2"/>
      <c r="C562" s="2"/>
      <c r="F562" s="12"/>
      <c r="G562" s="10"/>
      <c r="H562" s="13"/>
      <c r="I562" s="55"/>
      <c r="K562" s="9"/>
    </row>
    <row r="563" spans="2:11">
      <c r="B563" s="2"/>
      <c r="C563" s="2"/>
      <c r="F563" s="12"/>
      <c r="G563" s="3"/>
      <c r="H563" s="13"/>
      <c r="I563" s="55"/>
    </row>
    <row r="564" spans="2:11">
      <c r="B564" s="2"/>
      <c r="C564" s="2"/>
      <c r="F564" s="12"/>
      <c r="G564" s="3"/>
      <c r="H564" s="13"/>
      <c r="I564" s="55"/>
    </row>
    <row r="565" spans="2:11">
      <c r="B565" s="2"/>
      <c r="C565" s="2"/>
      <c r="F565" s="12"/>
      <c r="G565" s="3"/>
      <c r="H565" s="13"/>
      <c r="I565" s="55"/>
    </row>
    <row r="566" spans="2:11">
      <c r="B566" s="2"/>
      <c r="C566" s="2"/>
      <c r="F566" s="12"/>
      <c r="G566" s="3"/>
      <c r="H566" s="13"/>
      <c r="I566" s="55"/>
    </row>
    <row r="567" spans="2:11">
      <c r="B567" s="2"/>
      <c r="C567" s="2"/>
      <c r="F567" s="12"/>
      <c r="G567" s="3"/>
      <c r="H567" s="13"/>
      <c r="I567" s="55"/>
    </row>
    <row r="568" spans="2:11">
      <c r="B568" s="2"/>
      <c r="C568" s="2"/>
      <c r="F568" s="12"/>
      <c r="G568" s="3"/>
      <c r="H568" s="13"/>
      <c r="I568" s="55"/>
    </row>
    <row r="569" spans="2:11">
      <c r="B569" s="2"/>
      <c r="C569" s="2"/>
      <c r="F569" s="12"/>
      <c r="G569" s="10"/>
      <c r="H569" s="13"/>
      <c r="I569" s="55"/>
      <c r="K569" s="9"/>
    </row>
    <row r="570" spans="2:11">
      <c r="B570" s="2"/>
      <c r="C570" s="2"/>
      <c r="F570" s="12"/>
      <c r="G570" s="3"/>
      <c r="H570" s="13"/>
      <c r="I570" s="55"/>
    </row>
    <row r="571" spans="2:11">
      <c r="B571" s="2"/>
      <c r="C571" s="2"/>
      <c r="F571" s="12"/>
      <c r="G571" s="3"/>
      <c r="H571" s="13"/>
      <c r="I571" s="55"/>
    </row>
    <row r="572" spans="2:11">
      <c r="B572" s="2"/>
      <c r="C572" s="2"/>
      <c r="F572" s="12"/>
      <c r="G572" s="3"/>
      <c r="H572" s="13"/>
      <c r="I572" s="55"/>
    </row>
    <row r="573" spans="2:11">
      <c r="B573" s="2"/>
      <c r="C573" s="2"/>
      <c r="F573" s="12"/>
      <c r="G573" s="3"/>
      <c r="H573" s="13"/>
      <c r="I573" s="55"/>
    </row>
    <row r="574" spans="2:11">
      <c r="B574" s="2"/>
      <c r="C574" s="2"/>
      <c r="F574" s="12"/>
      <c r="G574" s="3"/>
      <c r="H574" s="13"/>
      <c r="I574" s="55"/>
    </row>
    <row r="575" spans="2:11">
      <c r="B575" s="2"/>
      <c r="C575" s="2"/>
      <c r="F575" s="12"/>
      <c r="G575" s="3"/>
      <c r="H575" s="13"/>
      <c r="I575" s="55"/>
    </row>
    <row r="576" spans="2:11">
      <c r="B576" s="2"/>
      <c r="C576" s="2"/>
      <c r="F576" s="12"/>
      <c r="G576" s="10"/>
      <c r="H576" s="13"/>
      <c r="I576" s="55"/>
      <c r="K576" s="9"/>
    </row>
    <row r="577" spans="2:11">
      <c r="B577" s="2"/>
      <c r="C577" s="2"/>
      <c r="F577" s="12"/>
      <c r="G577" s="3"/>
      <c r="I577" s="55"/>
    </row>
    <row r="578" spans="2:11">
      <c r="B578" s="2"/>
      <c r="C578" s="2"/>
      <c r="F578" s="12"/>
      <c r="G578" s="3"/>
      <c r="I578" s="55"/>
    </row>
    <row r="579" spans="2:11">
      <c r="B579" s="2"/>
      <c r="C579" s="2"/>
      <c r="F579" s="12"/>
      <c r="G579" s="3"/>
      <c r="I579" s="55"/>
    </row>
    <row r="580" spans="2:11">
      <c r="B580" s="2"/>
      <c r="C580" s="2"/>
      <c r="F580" s="12"/>
      <c r="G580" s="3"/>
      <c r="I580" s="55"/>
    </row>
    <row r="581" spans="2:11">
      <c r="B581" s="2"/>
      <c r="C581" s="2"/>
      <c r="F581" s="12"/>
      <c r="G581" s="3"/>
      <c r="I581" s="55"/>
    </row>
    <row r="582" spans="2:11">
      <c r="B582" s="2"/>
      <c r="C582" s="2"/>
      <c r="F582" s="12"/>
      <c r="G582" s="3"/>
      <c r="I582" s="55"/>
    </row>
    <row r="583" spans="2:11">
      <c r="B583" s="2"/>
      <c r="C583" s="2"/>
      <c r="F583" s="12"/>
      <c r="G583" s="10"/>
      <c r="I583" s="55"/>
      <c r="K583" s="9"/>
    </row>
    <row r="584" spans="2:11">
      <c r="B584" s="2"/>
      <c r="C584" s="2"/>
    </row>
    <row r="585" spans="2:11">
      <c r="B585" s="2"/>
      <c r="C585" s="2"/>
    </row>
    <row r="586" spans="2:11">
      <c r="B586" s="2"/>
      <c r="C586" s="2"/>
    </row>
    <row r="587" spans="2:11">
      <c r="B587" s="2"/>
      <c r="C587" s="2"/>
    </row>
    <row r="588" spans="2:11">
      <c r="B588" s="2"/>
      <c r="C588" s="2"/>
    </row>
    <row r="589" spans="2:11">
      <c r="B589" s="2"/>
      <c r="C589" s="2"/>
    </row>
    <row r="590" spans="2:11">
      <c r="B590" s="2"/>
      <c r="C590" s="2"/>
    </row>
    <row r="591" spans="2:11">
      <c r="B591" s="2"/>
      <c r="C591" s="2"/>
    </row>
    <row r="592" spans="2:11">
      <c r="B592" s="2"/>
      <c r="C592" s="2"/>
    </row>
    <row r="593" spans="2:3">
      <c r="B593" s="2"/>
      <c r="C593" s="2"/>
    </row>
    <row r="594" spans="2:3">
      <c r="B594" s="2"/>
      <c r="C594" s="2"/>
    </row>
    <row r="595" spans="2:3">
      <c r="B595" s="2"/>
      <c r="C595" s="2"/>
    </row>
    <row r="596" spans="2:3">
      <c r="B596" s="2"/>
      <c r="C596" s="2"/>
    </row>
    <row r="597" spans="2:3">
      <c r="B597" s="2"/>
      <c r="C597" s="2"/>
    </row>
    <row r="598" spans="2:3">
      <c r="B598" s="2"/>
      <c r="C598" s="2"/>
    </row>
    <row r="599" spans="2:3">
      <c r="B599" s="2"/>
      <c r="C599" s="2"/>
    </row>
    <row r="600" spans="2:3">
      <c r="B600" s="2"/>
      <c r="C600" s="2"/>
    </row>
    <row r="601" spans="2:3">
      <c r="B601" s="2"/>
      <c r="C601" s="2"/>
    </row>
    <row r="602" spans="2:3">
      <c r="B602" s="2"/>
      <c r="C602" s="2"/>
    </row>
    <row r="603" spans="2:3">
      <c r="B603" s="2"/>
      <c r="C603" s="2"/>
    </row>
    <row r="604" spans="2:3">
      <c r="B604" s="2"/>
      <c r="C604" s="2"/>
    </row>
    <row r="605" spans="2:3">
      <c r="B605" s="2"/>
      <c r="C605" s="2"/>
    </row>
    <row r="606" spans="2:3">
      <c r="B606" s="2"/>
      <c r="C606" s="2"/>
    </row>
    <row r="607" spans="2:3">
      <c r="B607" s="2"/>
      <c r="C607" s="2"/>
    </row>
    <row r="608" spans="2:3">
      <c r="B608" s="2"/>
      <c r="C608" s="2"/>
    </row>
    <row r="609" spans="2:3">
      <c r="B609" s="2"/>
      <c r="C609" s="2"/>
    </row>
    <row r="610" spans="2:3">
      <c r="B610" s="2"/>
      <c r="C610" s="2"/>
    </row>
    <row r="611" spans="2:3">
      <c r="B611" s="2"/>
      <c r="C611" s="2"/>
    </row>
    <row r="612" spans="2:3">
      <c r="B612" s="2"/>
      <c r="C612" s="2"/>
    </row>
    <row r="613" spans="2:3">
      <c r="B613" s="2"/>
      <c r="C613" s="2"/>
    </row>
    <row r="614" spans="2:3">
      <c r="B614" s="2"/>
      <c r="C614" s="2"/>
    </row>
    <row r="615" spans="2:3">
      <c r="B615" s="2"/>
      <c r="C615" s="2"/>
    </row>
    <row r="616" spans="2:3">
      <c r="B616" s="2"/>
      <c r="C616" s="2"/>
    </row>
    <row r="617" spans="2:3">
      <c r="B617" s="2"/>
      <c r="C617" s="2"/>
    </row>
    <row r="618" spans="2:3">
      <c r="B618" s="2"/>
      <c r="C618" s="2"/>
    </row>
    <row r="619" spans="2:3">
      <c r="B619" s="2"/>
      <c r="C619" s="2"/>
    </row>
    <row r="620" spans="2:3">
      <c r="B620" s="2"/>
      <c r="C620" s="2"/>
    </row>
    <row r="621" spans="2:3">
      <c r="B621" s="2"/>
      <c r="C621" s="2"/>
    </row>
    <row r="622" spans="2:3">
      <c r="B622" s="2"/>
      <c r="C622" s="2"/>
    </row>
    <row r="623" spans="2:3">
      <c r="B623" s="2"/>
      <c r="C623" s="2"/>
    </row>
    <row r="624" spans="2:3">
      <c r="B624" s="2"/>
      <c r="C624" s="2"/>
    </row>
    <row r="625" spans="2:3">
      <c r="B625" s="2"/>
      <c r="C625" s="2"/>
    </row>
    <row r="626" spans="2:3">
      <c r="B626" s="2"/>
      <c r="C626" s="2"/>
    </row>
    <row r="627" spans="2:3">
      <c r="B627" s="2"/>
      <c r="C627" s="2"/>
    </row>
    <row r="628" spans="2:3">
      <c r="B628" s="2"/>
      <c r="C628" s="2"/>
    </row>
    <row r="629" spans="2:3">
      <c r="B629" s="2"/>
      <c r="C629" s="2"/>
    </row>
    <row r="630" spans="2:3">
      <c r="B630" s="2"/>
      <c r="C630" s="2"/>
    </row>
    <row r="631" spans="2:3">
      <c r="B631" s="2"/>
      <c r="C631" s="2"/>
    </row>
    <row r="632" spans="2:3">
      <c r="B632" s="2"/>
      <c r="C632" s="2"/>
    </row>
    <row r="633" spans="2:3">
      <c r="B633" s="2"/>
      <c r="C633" s="2"/>
    </row>
    <row r="634" spans="2:3">
      <c r="B634" s="2"/>
      <c r="C634" s="2"/>
    </row>
    <row r="635" spans="2:3">
      <c r="B635" s="2"/>
      <c r="C635" s="2"/>
    </row>
    <row r="636" spans="2:3">
      <c r="B636" s="2"/>
      <c r="C636" s="2"/>
    </row>
    <row r="637" spans="2:3">
      <c r="B637" s="2"/>
      <c r="C637" s="2"/>
    </row>
    <row r="638" spans="2:3">
      <c r="B638" s="2"/>
      <c r="C638" s="2"/>
    </row>
    <row r="639" spans="2:3">
      <c r="B639" s="2"/>
      <c r="C639" s="2"/>
    </row>
    <row r="640" spans="2:3">
      <c r="B640" s="2"/>
      <c r="C640" s="2"/>
    </row>
    <row r="641" spans="2:3">
      <c r="B641" s="2"/>
      <c r="C641" s="2"/>
    </row>
    <row r="642" spans="2:3">
      <c r="B642" s="2"/>
      <c r="C642" s="2"/>
    </row>
    <row r="643" spans="2:3">
      <c r="B643" s="2"/>
      <c r="C643" s="2"/>
    </row>
    <row r="644" spans="2:3">
      <c r="B644" s="2"/>
      <c r="C644" s="2"/>
    </row>
    <row r="645" spans="2:3">
      <c r="B645" s="2"/>
      <c r="C645" s="2"/>
    </row>
    <row r="646" spans="2:3">
      <c r="B646" s="2"/>
      <c r="C646" s="2"/>
    </row>
    <row r="647" spans="2:3">
      <c r="B647" s="2"/>
      <c r="C647" s="2"/>
    </row>
    <row r="648" spans="2:3">
      <c r="B648" s="2"/>
      <c r="C648" s="2"/>
    </row>
    <row r="649" spans="2:3">
      <c r="B649" s="2"/>
      <c r="C649" s="2"/>
    </row>
    <row r="650" spans="2:3">
      <c r="B650" s="2"/>
      <c r="C650" s="2"/>
    </row>
    <row r="651" spans="2:3">
      <c r="B651" s="2"/>
    </row>
    <row r="652" spans="2:3">
      <c r="B652" s="2"/>
    </row>
    <row r="653" spans="2:3">
      <c r="B653" s="2"/>
    </row>
    <row r="654" spans="2:3">
      <c r="B654" s="2"/>
    </row>
    <row r="655" spans="2:3">
      <c r="B655" s="2"/>
    </row>
  </sheetData>
  <autoFilter ref="B1:N107" xr:uid="{409024EA-4055-4A37-89F5-A3748DB90205}">
    <filterColumn colId="2" showButton="0"/>
  </autoFilter>
  <mergeCells count="1">
    <mergeCell ref="D1:E1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712F-8FD7-4163-ABA5-8CEC7B8DE1C5}">
  <dimension ref="B1:L655"/>
  <sheetViews>
    <sheetView showGridLines="0" zoomScale="85" workbookViewId="0">
      <selection activeCell="K99" sqref="K99"/>
    </sheetView>
  </sheetViews>
  <sheetFormatPr defaultColWidth="11.42578125" defaultRowHeight="14.45"/>
  <cols>
    <col min="3" max="3" width="12.140625" customWidth="1"/>
    <col min="4" max="4" width="12.5703125" customWidth="1"/>
    <col min="5" max="5" width="13.5703125" customWidth="1"/>
    <col min="6" max="6" width="15.42578125" customWidth="1"/>
    <col min="7" max="7" width="28.5703125" style="12" bestFit="1" customWidth="1"/>
    <col min="8" max="8" width="23" style="26" customWidth="1"/>
    <col min="9" max="9" width="15.140625" style="45" bestFit="1" customWidth="1"/>
    <col min="10" max="10" width="23" customWidth="1"/>
    <col min="11" max="11" width="16.42578125" customWidth="1"/>
    <col min="12" max="12" width="13.28515625" bestFit="1" customWidth="1"/>
  </cols>
  <sheetData>
    <row r="1" spans="2:12">
      <c r="D1" s="59" t="s">
        <v>39</v>
      </c>
      <c r="E1" s="59"/>
      <c r="G1" s="40" t="s">
        <v>40</v>
      </c>
      <c r="K1" t="s">
        <v>0</v>
      </c>
    </row>
    <row r="2" spans="2:12" s="38" customFormat="1" ht="15.95" customHeight="1">
      <c r="B2" s="42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3" t="s">
        <v>46</v>
      </c>
      <c r="H2" s="44" t="s">
        <v>9</v>
      </c>
      <c r="I2" s="46" t="s">
        <v>47</v>
      </c>
      <c r="J2" s="46" t="s">
        <v>48</v>
      </c>
      <c r="K2" s="46" t="s">
        <v>49</v>
      </c>
      <c r="L2" s="46" t="s">
        <v>50</v>
      </c>
    </row>
    <row r="3" spans="2:12">
      <c r="B3" s="2">
        <f>YEAR(EDATE(DATE(2017,10,1),ROWS($A$2:A2)-1))</f>
        <v>2017</v>
      </c>
      <c r="C3" s="2" t="str">
        <f>PROPER(TEXT(EDATE(DATE(2019,10,1),ROWS($B$2:B2)-1),"mmm"))</f>
        <v>Oct</v>
      </c>
      <c r="F3" s="12" t="s">
        <v>45</v>
      </c>
      <c r="G3" s="6">
        <v>118659</v>
      </c>
      <c r="H3" s="33">
        <v>3120</v>
      </c>
      <c r="I3" s="45">
        <f>G3/H3</f>
        <v>38.031730769230769</v>
      </c>
      <c r="K3" s="49"/>
      <c r="L3" s="49">
        <f>K3*G3</f>
        <v>0</v>
      </c>
    </row>
    <row r="4" spans="2:12">
      <c r="B4" s="2">
        <f>YEAR(EDATE(DATE(2017,10,1),ROWS($A$2:A3)-1))</f>
        <v>2017</v>
      </c>
      <c r="C4" s="2" t="str">
        <f>PROPER(TEXT(EDATE(DATE(2019,10,1),ROWS($B$2:B3)-1),"mmm"))</f>
        <v>Nov</v>
      </c>
      <c r="F4" s="12" t="s">
        <v>45</v>
      </c>
      <c r="G4" s="6">
        <v>230669</v>
      </c>
      <c r="H4" s="33">
        <v>2869</v>
      </c>
      <c r="I4" s="45">
        <f t="shared" ref="I4:I67" si="0">G4/H4</f>
        <v>80.400487974904152</v>
      </c>
      <c r="K4" s="49"/>
      <c r="L4" s="49">
        <f t="shared" ref="L4:L67" si="1">K4*G4</f>
        <v>0</v>
      </c>
    </row>
    <row r="5" spans="2:12">
      <c r="B5" s="2">
        <f>YEAR(EDATE(DATE(2017,10,1),ROWS($A$2:A4)-1))</f>
        <v>2017</v>
      </c>
      <c r="C5" s="2" t="str">
        <f>PROPER(TEXT(EDATE(DATE(2019,10,1),ROWS($B$2:B4)-1),"mmm"))</f>
        <v>Dic</v>
      </c>
      <c r="F5" s="12" t="s">
        <v>45</v>
      </c>
      <c r="G5" s="6">
        <v>65185</v>
      </c>
      <c r="H5" s="33">
        <v>2634</v>
      </c>
      <c r="I5" s="45">
        <f t="shared" si="0"/>
        <v>24.747532270311314</v>
      </c>
      <c r="K5" s="49"/>
      <c r="L5" s="49">
        <f t="shared" si="1"/>
        <v>0</v>
      </c>
    </row>
    <row r="6" spans="2:12">
      <c r="B6" s="2">
        <f>YEAR(EDATE(DATE(2017,10,1),ROWS($A$2:A5)-1))</f>
        <v>2018</v>
      </c>
      <c r="C6" s="2" t="str">
        <f>PROPER(TEXT(EDATE(DATE(2019,10,1),ROWS($B$2:B5)-1),"mmm"))</f>
        <v>Ene</v>
      </c>
      <c r="F6" s="12" t="s">
        <v>45</v>
      </c>
      <c r="G6" s="6">
        <v>219753</v>
      </c>
      <c r="H6" s="33">
        <v>2535</v>
      </c>
      <c r="I6" s="45">
        <f t="shared" si="0"/>
        <v>86.687573964497048</v>
      </c>
      <c r="K6" s="49"/>
      <c r="L6" s="49">
        <f t="shared" si="1"/>
        <v>0</v>
      </c>
    </row>
    <row r="7" spans="2:12">
      <c r="B7" s="2">
        <f>YEAR(EDATE(DATE(2017,10,1),ROWS($A$2:A6)-1))</f>
        <v>2018</v>
      </c>
      <c r="C7" s="2" t="str">
        <f>PROPER(TEXT(EDATE(DATE(2019,10,1),ROWS($B$2:B6)-1),"mmm"))</f>
        <v>Feb</v>
      </c>
      <c r="F7" s="12" t="s">
        <v>45</v>
      </c>
      <c r="G7" s="6">
        <v>216807</v>
      </c>
      <c r="H7" s="33">
        <v>2695</v>
      </c>
      <c r="I7" s="45">
        <f t="shared" si="0"/>
        <v>80.447866419294996</v>
      </c>
      <c r="K7" s="49"/>
      <c r="L7" s="49">
        <f t="shared" si="1"/>
        <v>0</v>
      </c>
    </row>
    <row r="8" spans="2:12">
      <c r="B8" s="2">
        <f>YEAR(EDATE(DATE(2017,10,1),ROWS($A$2:A7)-1))</f>
        <v>2018</v>
      </c>
      <c r="C8" s="2" t="str">
        <f>PROPER(TEXT(EDATE(DATE(2019,10,1),ROWS($B$2:B7)-1),"mmm"))</f>
        <v>Mar</v>
      </c>
      <c r="F8" s="12" t="s">
        <v>45</v>
      </c>
      <c r="G8" s="6">
        <v>132729</v>
      </c>
      <c r="H8" s="33">
        <v>2766</v>
      </c>
      <c r="I8" s="45">
        <f t="shared" si="0"/>
        <v>47.985900216919738</v>
      </c>
      <c r="K8" s="49"/>
      <c r="L8" s="49">
        <f t="shared" si="1"/>
        <v>0</v>
      </c>
    </row>
    <row r="9" spans="2:12" s="9" customFormat="1">
      <c r="B9" s="2">
        <f>YEAR(EDATE(DATE(2017,10,1),ROWS($A$2:A8)-1))</f>
        <v>2018</v>
      </c>
      <c r="C9" s="2" t="str">
        <f>PROPER(TEXT(EDATE(DATE(2019,10,1),ROWS($B$2:B8)-1),"mmm"))</f>
        <v>Abr</v>
      </c>
      <c r="F9" s="12" t="s">
        <v>45</v>
      </c>
      <c r="G9" s="11">
        <v>232571</v>
      </c>
      <c r="H9" s="34">
        <v>2776</v>
      </c>
      <c r="I9" s="45">
        <f t="shared" si="0"/>
        <v>83.779178674351584</v>
      </c>
      <c r="K9" s="49"/>
      <c r="L9" s="49">
        <f t="shared" si="1"/>
        <v>0</v>
      </c>
    </row>
    <row r="10" spans="2:12">
      <c r="B10" s="2">
        <f>YEAR(EDATE(DATE(2017,10,1),ROWS($A$2:A9)-1))</f>
        <v>2018</v>
      </c>
      <c r="C10" s="2" t="str">
        <f>PROPER(TEXT(EDATE(DATE(2019,10,1),ROWS($B$2:B9)-1),"mmm"))</f>
        <v>May</v>
      </c>
      <c r="F10" s="12" t="s">
        <v>45</v>
      </c>
      <c r="G10" s="6">
        <v>135865</v>
      </c>
      <c r="H10" s="33">
        <v>2758</v>
      </c>
      <c r="I10" s="45">
        <f t="shared" si="0"/>
        <v>49.262146482958663</v>
      </c>
      <c r="K10" s="49"/>
      <c r="L10" s="49">
        <f t="shared" si="1"/>
        <v>0</v>
      </c>
    </row>
    <row r="11" spans="2:12">
      <c r="B11" s="2">
        <f>YEAR(EDATE(DATE(2017,10,1),ROWS($A$2:A10)-1))</f>
        <v>2018</v>
      </c>
      <c r="C11" s="2" t="str">
        <f>PROPER(TEXT(EDATE(DATE(2019,10,1),ROWS($B$2:B10)-1),"mmm"))</f>
        <v>Jun</v>
      </c>
      <c r="F11" s="12" t="s">
        <v>45</v>
      </c>
      <c r="G11" s="6">
        <v>141536</v>
      </c>
      <c r="H11" s="33">
        <v>2766</v>
      </c>
      <c r="I11" s="45">
        <f t="shared" si="0"/>
        <v>51.169920462762114</v>
      </c>
      <c r="K11" s="49"/>
      <c r="L11" s="49">
        <f t="shared" si="1"/>
        <v>0</v>
      </c>
    </row>
    <row r="12" spans="2:12">
      <c r="B12" s="2">
        <f>YEAR(EDATE(DATE(2017,10,1),ROWS($A$2:A11)-1))</f>
        <v>2018</v>
      </c>
      <c r="C12" s="2" t="str">
        <f>PROPER(TEXT(EDATE(DATE(2019,10,1),ROWS($B$2:B11)-1),"mmm"))</f>
        <v>Jul</v>
      </c>
      <c r="F12" s="12" t="s">
        <v>45</v>
      </c>
      <c r="G12" s="6">
        <v>249155</v>
      </c>
      <c r="H12" s="33">
        <v>2838</v>
      </c>
      <c r="I12" s="45">
        <f t="shared" si="0"/>
        <v>87.79245947850599</v>
      </c>
      <c r="K12" s="49"/>
      <c r="L12" s="49">
        <f t="shared" si="1"/>
        <v>0</v>
      </c>
    </row>
    <row r="13" spans="2:12">
      <c r="B13" s="2">
        <f>YEAR(EDATE(DATE(2017,10,1),ROWS($A$2:A12)-1))</f>
        <v>2018</v>
      </c>
      <c r="C13" s="2" t="str">
        <f>PROPER(TEXT(EDATE(DATE(2019,10,1),ROWS($B$2:B12)-1),"mmm"))</f>
        <v>Ago</v>
      </c>
      <c r="F13" s="12" t="s">
        <v>45</v>
      </c>
      <c r="G13" s="6">
        <v>190563</v>
      </c>
      <c r="H13" s="33">
        <v>2535</v>
      </c>
      <c r="I13" s="45">
        <f t="shared" si="0"/>
        <v>75.172781065088756</v>
      </c>
      <c r="K13" s="49"/>
      <c r="L13" s="49">
        <f t="shared" si="1"/>
        <v>0</v>
      </c>
    </row>
    <row r="14" spans="2:12">
      <c r="B14" s="2">
        <f>YEAR(EDATE(DATE(2017,10,1),ROWS($A$2:A13)-1))</f>
        <v>2018</v>
      </c>
      <c r="C14" s="2" t="str">
        <f>PROPER(TEXT(EDATE(DATE(2019,10,1),ROWS($B$2:B13)-1),"mmm"))</f>
        <v>Sep</v>
      </c>
      <c r="F14" s="12" t="s">
        <v>45</v>
      </c>
      <c r="G14" s="6">
        <v>181865</v>
      </c>
      <c r="H14" s="33">
        <v>2730</v>
      </c>
      <c r="I14" s="45">
        <f t="shared" si="0"/>
        <v>66.617216117216117</v>
      </c>
      <c r="K14" s="49"/>
      <c r="L14" s="49">
        <f t="shared" si="1"/>
        <v>0</v>
      </c>
    </row>
    <row r="15" spans="2:12">
      <c r="B15" s="2">
        <f>YEAR(EDATE(DATE(2017,10,1),ROWS($A$2:A14)-1))</f>
        <v>2018</v>
      </c>
      <c r="C15" s="2" t="str">
        <f>PROPER(TEXT(EDATE(DATE(2019,10,1),ROWS($B$2:B14)-1),"mmm"))</f>
        <v>Oct</v>
      </c>
      <c r="F15" s="12" t="s">
        <v>45</v>
      </c>
      <c r="G15" s="13">
        <v>221009</v>
      </c>
      <c r="H15" s="33">
        <v>2846</v>
      </c>
      <c r="I15" s="45">
        <f t="shared" si="0"/>
        <v>77.656008432888271</v>
      </c>
      <c r="K15" s="49"/>
      <c r="L15" s="49">
        <f t="shared" si="1"/>
        <v>0</v>
      </c>
    </row>
    <row r="16" spans="2:12">
      <c r="B16" s="2">
        <f>YEAR(EDATE(DATE(2017,10,1),ROWS($A$2:A15)-1))</f>
        <v>2018</v>
      </c>
      <c r="C16" s="2" t="str">
        <f>PROPER(TEXT(EDATE(DATE(2019,10,1),ROWS($B$2:B15)-1),"mmm"))</f>
        <v>Nov</v>
      </c>
      <c r="F16" s="12" t="s">
        <v>45</v>
      </c>
      <c r="G16" s="13">
        <v>138763</v>
      </c>
      <c r="H16" s="33">
        <v>2575</v>
      </c>
      <c r="I16" s="45">
        <f t="shared" si="0"/>
        <v>53.888543689320386</v>
      </c>
      <c r="J16" s="5"/>
      <c r="K16" s="49"/>
      <c r="L16" s="49">
        <f t="shared" si="1"/>
        <v>0</v>
      </c>
    </row>
    <row r="17" spans="2:12">
      <c r="B17" s="2">
        <f>YEAR(EDATE(DATE(2017,10,1),ROWS($A$2:A16)-1))</f>
        <v>2018</v>
      </c>
      <c r="C17" s="2" t="str">
        <f>PROPER(TEXT(EDATE(DATE(2019,10,1),ROWS($B$2:B16)-1),"mmm"))</f>
        <v>Dic</v>
      </c>
      <c r="F17" s="12" t="s">
        <v>45</v>
      </c>
      <c r="G17" s="13">
        <v>191950</v>
      </c>
      <c r="H17" s="33">
        <v>2691</v>
      </c>
      <c r="I17" s="45">
        <f t="shared" si="0"/>
        <v>71.330360460795248</v>
      </c>
      <c r="K17" s="49"/>
      <c r="L17" s="49">
        <f t="shared" si="1"/>
        <v>0</v>
      </c>
    </row>
    <row r="18" spans="2:12">
      <c r="B18" s="2">
        <f>YEAR(EDATE(DATE(2017,10,1),ROWS($A$2:A17)-1))</f>
        <v>2019</v>
      </c>
      <c r="C18" s="2" t="str">
        <f>PROPER(TEXT(EDATE(DATE(2019,10,1),ROWS($B$2:B17)-1),"mmm"))</f>
        <v>Ene</v>
      </c>
      <c r="F18" s="12" t="s">
        <v>45</v>
      </c>
      <c r="G18" s="13">
        <v>125968</v>
      </c>
      <c r="H18" s="33">
        <v>2632</v>
      </c>
      <c r="I18" s="45">
        <f t="shared" si="0"/>
        <v>47.860182370820667</v>
      </c>
      <c r="K18" s="49"/>
      <c r="L18" s="49">
        <f t="shared" si="1"/>
        <v>0</v>
      </c>
    </row>
    <row r="19" spans="2:12">
      <c r="B19" s="2">
        <f>YEAR(EDATE(DATE(2017,10,1),ROWS($A$2:A18)-1))</f>
        <v>2019</v>
      </c>
      <c r="C19" s="2" t="str">
        <f>PROPER(TEXT(EDATE(DATE(2019,10,1),ROWS($B$2:B18)-1),"mmm"))</f>
        <v>Feb</v>
      </c>
      <c r="F19" s="12" t="s">
        <v>45</v>
      </c>
      <c r="G19" s="13">
        <v>191899</v>
      </c>
      <c r="H19" s="33">
        <v>2399</v>
      </c>
      <c r="I19" s="45">
        <f t="shared" si="0"/>
        <v>79.991246352646939</v>
      </c>
      <c r="K19" s="49"/>
      <c r="L19" s="49">
        <f t="shared" si="1"/>
        <v>0</v>
      </c>
    </row>
    <row r="20" spans="2:12">
      <c r="B20" s="2">
        <f>YEAR(EDATE(DATE(2017,10,1),ROWS($A$2:A19)-1))</f>
        <v>2019</v>
      </c>
      <c r="C20" s="2" t="str">
        <f>PROPER(TEXT(EDATE(DATE(2019,10,1),ROWS($B$2:B19)-1),"mmm"))</f>
        <v>Mar</v>
      </c>
      <c r="F20" s="12" t="s">
        <v>45</v>
      </c>
      <c r="G20" s="13">
        <v>184335</v>
      </c>
      <c r="H20" s="33">
        <v>2617</v>
      </c>
      <c r="I20" s="45">
        <f t="shared" si="0"/>
        <v>70.437523882307985</v>
      </c>
      <c r="K20" s="49"/>
      <c r="L20" s="49">
        <f t="shared" si="1"/>
        <v>0</v>
      </c>
    </row>
    <row r="21" spans="2:12">
      <c r="B21" s="2">
        <f>YEAR(EDATE(DATE(2017,10,1),ROWS($A$2:A20)-1))</f>
        <v>2019</v>
      </c>
      <c r="C21" s="2" t="str">
        <f>PROPER(TEXT(EDATE(DATE(2019,10,1),ROWS($B$2:B20)-1),"mmm"))</f>
        <v>Abr</v>
      </c>
      <c r="F21" s="12" t="s">
        <v>45</v>
      </c>
      <c r="G21" s="13">
        <v>68625</v>
      </c>
      <c r="H21" s="33">
        <v>2663</v>
      </c>
      <c r="I21" s="45">
        <f t="shared" si="0"/>
        <v>25.76980848666917</v>
      </c>
      <c r="K21" s="49"/>
      <c r="L21" s="49">
        <f t="shared" si="1"/>
        <v>0</v>
      </c>
    </row>
    <row r="22" spans="2:12">
      <c r="B22" s="2">
        <f>YEAR(EDATE(DATE(2017,10,1),ROWS($A$2:A21)-1))</f>
        <v>2019</v>
      </c>
      <c r="C22" s="2" t="str">
        <f>PROPER(TEXT(EDATE(DATE(2019,10,1),ROWS($B$2:B21)-1),"mmm"))</f>
        <v>May</v>
      </c>
      <c r="F22" s="12" t="s">
        <v>45</v>
      </c>
      <c r="G22" s="13">
        <v>230196</v>
      </c>
      <c r="H22" s="33">
        <v>2942</v>
      </c>
      <c r="I22" s="45">
        <f t="shared" si="0"/>
        <v>78.244731475186953</v>
      </c>
      <c r="K22" s="49"/>
      <c r="L22" s="49">
        <f t="shared" si="1"/>
        <v>0</v>
      </c>
    </row>
    <row r="23" spans="2:12">
      <c r="B23" s="2">
        <f>YEAR(EDATE(DATE(2017,10,1),ROWS($A$2:A22)-1))</f>
        <v>2019</v>
      </c>
      <c r="C23" s="2" t="str">
        <f>PROPER(TEXT(EDATE(DATE(2019,10,1),ROWS($B$2:B22)-1),"mmm"))</f>
        <v>Jun</v>
      </c>
      <c r="F23" s="12" t="s">
        <v>45</v>
      </c>
      <c r="G23" s="13">
        <v>246976</v>
      </c>
      <c r="H23" s="33">
        <v>2892</v>
      </c>
      <c r="I23" s="45">
        <f t="shared" si="0"/>
        <v>85.399723374827104</v>
      </c>
      <c r="K23" s="49"/>
      <c r="L23" s="49">
        <f t="shared" si="1"/>
        <v>0</v>
      </c>
    </row>
    <row r="24" spans="2:12">
      <c r="B24" s="2">
        <f>YEAR(EDATE(DATE(2017,10,1),ROWS($A$2:A23)-1))</f>
        <v>2019</v>
      </c>
      <c r="C24" s="2" t="str">
        <f>PROPER(TEXT(EDATE(DATE(2019,10,1),ROWS($B$2:B23)-1),"mmm"))</f>
        <v>Jul</v>
      </c>
      <c r="F24" s="12" t="s">
        <v>45</v>
      </c>
      <c r="G24" s="13">
        <v>139673</v>
      </c>
      <c r="H24" s="33">
        <v>2740</v>
      </c>
      <c r="I24" s="45">
        <f t="shared" si="0"/>
        <v>50.975547445255472</v>
      </c>
      <c r="K24" s="49"/>
      <c r="L24" s="49">
        <f t="shared" si="1"/>
        <v>0</v>
      </c>
    </row>
    <row r="25" spans="2:12">
      <c r="B25" s="2">
        <f>YEAR(EDATE(DATE(2017,10,1),ROWS($A$2:A24)-1))</f>
        <v>2019</v>
      </c>
      <c r="C25" s="2" t="str">
        <f>PROPER(TEXT(EDATE(DATE(2019,10,1),ROWS($B$2:B24)-1),"mmm"))</f>
        <v>Ago</v>
      </c>
      <c r="F25" s="12" t="s">
        <v>45</v>
      </c>
      <c r="G25" s="13">
        <v>187025</v>
      </c>
      <c r="H25" s="33">
        <v>2750</v>
      </c>
      <c r="I25" s="45">
        <f t="shared" si="0"/>
        <v>68.009090909090915</v>
      </c>
      <c r="K25" s="49"/>
      <c r="L25" s="49">
        <f t="shared" si="1"/>
        <v>0</v>
      </c>
    </row>
    <row r="26" spans="2:12">
      <c r="B26" s="2">
        <f>YEAR(EDATE(DATE(2017,10,1),ROWS($A$2:A25)-1))</f>
        <v>2019</v>
      </c>
      <c r="C26" s="2" t="str">
        <f>PROPER(TEXT(EDATE(DATE(2019,10,1),ROWS($B$2:B25)-1),"mmm"))</f>
        <v>Sep</v>
      </c>
      <c r="F26" s="12" t="s">
        <v>45</v>
      </c>
      <c r="G26" s="13">
        <v>247500</v>
      </c>
      <c r="H26" s="33">
        <v>2800</v>
      </c>
      <c r="I26" s="45">
        <f t="shared" si="0"/>
        <v>88.392857142857139</v>
      </c>
      <c r="K26" s="49"/>
      <c r="L26" s="49">
        <f t="shared" si="1"/>
        <v>0</v>
      </c>
    </row>
    <row r="27" spans="2:12">
      <c r="B27" s="2">
        <f>YEAR(EDATE(DATE(2017,10,1),ROWS($A$2:A26)-1))</f>
        <v>2019</v>
      </c>
      <c r="C27" s="2" t="str">
        <f>PROPER(TEXT(EDATE(DATE(2019,10,1),ROWS($B$2:B26)-1),"mmm"))</f>
        <v>Oct</v>
      </c>
      <c r="F27" s="12" t="s">
        <v>45</v>
      </c>
      <c r="G27" s="13">
        <v>240457</v>
      </c>
      <c r="H27" s="33">
        <v>2880</v>
      </c>
      <c r="I27" s="45">
        <f t="shared" si="0"/>
        <v>83.492013888888891</v>
      </c>
      <c r="K27" s="49"/>
      <c r="L27" s="49">
        <f t="shared" si="1"/>
        <v>0</v>
      </c>
    </row>
    <row r="28" spans="2:12">
      <c r="B28" s="2">
        <f>YEAR(EDATE(DATE(2017,10,1),ROWS($A$2:A27)-1))</f>
        <v>2019</v>
      </c>
      <c r="C28" s="2" t="str">
        <f>PROPER(TEXT(EDATE(DATE(2019,10,1),ROWS($B$2:B27)-1),"mmm"))</f>
        <v>Nov</v>
      </c>
      <c r="F28" s="12" t="s">
        <v>45</v>
      </c>
      <c r="G28" s="13">
        <v>151500</v>
      </c>
      <c r="H28" s="33">
        <v>2900</v>
      </c>
      <c r="I28" s="45">
        <f t="shared" si="0"/>
        <v>52.241379310344826</v>
      </c>
      <c r="K28" s="49"/>
      <c r="L28" s="49">
        <f t="shared" si="1"/>
        <v>0</v>
      </c>
    </row>
    <row r="29" spans="2:12">
      <c r="B29" s="2">
        <f>YEAR(EDATE(DATE(2017,10,1),ROWS($A$2:A28)-1))</f>
        <v>2019</v>
      </c>
      <c r="C29" s="2" t="str">
        <f>PROPER(TEXT(EDATE(DATE(2019,10,1),ROWS($B$2:B28)-1),"mmm"))</f>
        <v>Dic</v>
      </c>
      <c r="F29" s="12" t="s">
        <v>45</v>
      </c>
      <c r="G29" s="13">
        <v>237900</v>
      </c>
      <c r="H29" s="33">
        <v>2838</v>
      </c>
      <c r="I29" s="45">
        <f t="shared" si="0"/>
        <v>83.826638477801268</v>
      </c>
      <c r="K29" s="49"/>
      <c r="L29" s="49">
        <f t="shared" si="1"/>
        <v>0</v>
      </c>
    </row>
    <row r="30" spans="2:12">
      <c r="B30" s="2">
        <f>YEAR(EDATE(DATE(2017,10,1),ROWS($A$2:A29)-1))</f>
        <v>2020</v>
      </c>
      <c r="C30" s="2" t="str">
        <f>PROPER(TEXT(EDATE(DATE(2019,10,1),ROWS($B$2:B29)-1),"mmm"))</f>
        <v>Ene</v>
      </c>
      <c r="F30" s="12" t="s">
        <v>45</v>
      </c>
      <c r="G30" s="13">
        <v>67800</v>
      </c>
      <c r="H30" s="33">
        <v>2760</v>
      </c>
      <c r="I30" s="45">
        <f t="shared" si="0"/>
        <v>24.565217391304348</v>
      </c>
      <c r="K30" s="49"/>
      <c r="L30" s="49">
        <f t="shared" si="1"/>
        <v>0</v>
      </c>
    </row>
    <row r="31" spans="2:12">
      <c r="B31" s="2">
        <f>YEAR(EDATE(DATE(2017,10,1),ROWS($A$2:A30)-1))</f>
        <v>2020</v>
      </c>
      <c r="C31" s="2" t="str">
        <f>PROPER(TEXT(EDATE(DATE(2019,10,1),ROWS($B$2:B30)-1),"mmm"))</f>
        <v>Feb</v>
      </c>
      <c r="F31" s="12" t="s">
        <v>45</v>
      </c>
      <c r="G31" s="13">
        <v>216949</v>
      </c>
      <c r="H31" s="33">
        <v>2617</v>
      </c>
      <c r="I31" s="45">
        <f t="shared" si="0"/>
        <v>82.899885364921673</v>
      </c>
      <c r="K31" s="49"/>
      <c r="L31" s="49">
        <f t="shared" si="1"/>
        <v>0</v>
      </c>
    </row>
    <row r="32" spans="2:12">
      <c r="B32" s="2">
        <f>YEAR(EDATE(DATE(2017,10,1),ROWS($A$2:A31)-1))</f>
        <v>2020</v>
      </c>
      <c r="C32" s="2" t="str">
        <f>PROPER(TEXT(EDATE(DATE(2019,10,1),ROWS($B$2:B31)-1),"mmm"))</f>
        <v>Mar</v>
      </c>
      <c r="F32" s="12" t="s">
        <v>45</v>
      </c>
      <c r="G32" s="13">
        <v>189000</v>
      </c>
      <c r="H32" s="33">
        <v>2911</v>
      </c>
      <c r="I32" s="45">
        <f t="shared" si="0"/>
        <v>64.926142219168668</v>
      </c>
      <c r="K32" s="49"/>
      <c r="L32" s="49">
        <f t="shared" si="1"/>
        <v>0</v>
      </c>
    </row>
    <row r="33" spans="2:12">
      <c r="B33" s="2">
        <f>YEAR(EDATE(DATE(2017,10,1),ROWS($A$2:A32)-1))</f>
        <v>2020</v>
      </c>
      <c r="C33" s="2" t="str">
        <f>PROPER(TEXT(EDATE(DATE(2019,10,1),ROWS($B$2:B32)-1),"mmm"))</f>
        <v>Abr</v>
      </c>
      <c r="F33" s="12" t="s">
        <v>45</v>
      </c>
      <c r="G33" s="13">
        <v>58000</v>
      </c>
      <c r="H33" s="33">
        <v>720</v>
      </c>
      <c r="I33" s="45">
        <f t="shared" si="0"/>
        <v>80.555555555555557</v>
      </c>
      <c r="K33" s="49"/>
      <c r="L33" s="49">
        <f t="shared" si="1"/>
        <v>0</v>
      </c>
    </row>
    <row r="34" spans="2:12">
      <c r="B34" s="2">
        <f>YEAR(EDATE(DATE(2017,10,1),ROWS($A$2:A33)-1))</f>
        <v>2020</v>
      </c>
      <c r="C34" s="2" t="str">
        <f>PROPER(TEXT(EDATE(DATE(2019,10,1),ROWS($B$2:B33)-1),"mmm"))</f>
        <v>May</v>
      </c>
      <c r="F34" s="12" t="s">
        <v>45</v>
      </c>
      <c r="G34" s="13">
        <v>63500</v>
      </c>
      <c r="H34" s="33">
        <v>1125</v>
      </c>
      <c r="I34" s="45">
        <f t="shared" si="0"/>
        <v>56.444444444444443</v>
      </c>
      <c r="K34" s="49"/>
      <c r="L34" s="49">
        <f t="shared" si="1"/>
        <v>0</v>
      </c>
    </row>
    <row r="35" spans="2:12">
      <c r="B35" s="2">
        <f>YEAR(EDATE(DATE(2017,10,1),ROWS($A$2:A34)-1))</f>
        <v>2020</v>
      </c>
      <c r="C35" s="2" t="str">
        <f>PROPER(TEXT(EDATE(DATE(2019,10,1),ROWS($B$2:B34)-1),"mmm"))</f>
        <v>Jun</v>
      </c>
      <c r="F35" s="12" t="s">
        <v>45</v>
      </c>
      <c r="G35" s="13">
        <v>38000</v>
      </c>
      <c r="H35" s="33">
        <v>1913</v>
      </c>
      <c r="I35" s="45">
        <f t="shared" si="0"/>
        <v>19.86408782017773</v>
      </c>
      <c r="K35" s="49"/>
      <c r="L35" s="49">
        <f t="shared" si="1"/>
        <v>0</v>
      </c>
    </row>
    <row r="36" spans="2:12">
      <c r="B36" s="2">
        <f>YEAR(EDATE(DATE(2017,10,1),ROWS($A$2:A35)-1))</f>
        <v>2020</v>
      </c>
      <c r="C36" s="2" t="str">
        <f>PROPER(TEXT(EDATE(DATE(2019,10,1),ROWS($B$2:B35)-1),"mmm"))</f>
        <v>Jul</v>
      </c>
      <c r="F36" s="12" t="s">
        <v>45</v>
      </c>
      <c r="G36" s="13">
        <v>229769</v>
      </c>
      <c r="H36" s="33">
        <v>3550</v>
      </c>
      <c r="I36" s="45">
        <f t="shared" si="0"/>
        <v>64.723661971830992</v>
      </c>
      <c r="K36" s="49"/>
      <c r="L36" s="49">
        <f t="shared" si="1"/>
        <v>0</v>
      </c>
    </row>
    <row r="37" spans="2:12">
      <c r="B37" s="2">
        <f>YEAR(EDATE(DATE(2017,10,1),ROWS($A$2:A36)-1))</f>
        <v>2020</v>
      </c>
      <c r="C37" s="2" t="str">
        <f>PROPER(TEXT(EDATE(DATE(2019,10,1),ROWS($B$2:B36)-1),"mmm"))</f>
        <v>Ago</v>
      </c>
      <c r="F37" s="12" t="s">
        <v>45</v>
      </c>
      <c r="G37" s="13">
        <v>155000</v>
      </c>
      <c r="H37" s="33">
        <v>3152</v>
      </c>
      <c r="I37" s="45">
        <f t="shared" si="0"/>
        <v>49.175126903553299</v>
      </c>
      <c r="K37" s="49"/>
      <c r="L37" s="49">
        <f t="shared" si="1"/>
        <v>0</v>
      </c>
    </row>
    <row r="38" spans="2:12">
      <c r="B38" s="2">
        <f>YEAR(EDATE(DATE(2017,10,1),ROWS($A$2:A37)-1))</f>
        <v>2020</v>
      </c>
      <c r="C38" s="2" t="str">
        <f>PROPER(TEXT(EDATE(DATE(2019,10,1),ROWS($B$2:B37)-1),"mmm"))</f>
        <v>Sep</v>
      </c>
      <c r="F38" s="12" t="s">
        <v>45</v>
      </c>
      <c r="G38" s="13">
        <v>158000</v>
      </c>
      <c r="H38" s="33">
        <v>3246</v>
      </c>
      <c r="I38" s="45">
        <f t="shared" si="0"/>
        <v>48.675292667898951</v>
      </c>
      <c r="K38" s="49"/>
      <c r="L38" s="49">
        <f t="shared" si="1"/>
        <v>0</v>
      </c>
    </row>
    <row r="39" spans="2:12">
      <c r="B39" s="2">
        <f>YEAR(EDATE(DATE(2017,10,1),ROWS($A$2:A38)-1))</f>
        <v>2020</v>
      </c>
      <c r="C39" s="2" t="str">
        <f>PROPER(TEXT(EDATE(DATE(2019,10,1),ROWS($B$2:B38)-1),"mmm"))</f>
        <v>Oct</v>
      </c>
      <c r="F39" s="12" t="s">
        <v>45</v>
      </c>
      <c r="G39" s="13">
        <v>153151</v>
      </c>
      <c r="H39" s="33">
        <v>3048</v>
      </c>
      <c r="I39" s="45">
        <f t="shared" si="0"/>
        <v>50.246391076115486</v>
      </c>
      <c r="K39" s="49"/>
      <c r="L39" s="49">
        <f t="shared" si="1"/>
        <v>0</v>
      </c>
    </row>
    <row r="40" spans="2:12">
      <c r="B40" s="2">
        <f>YEAR(EDATE(DATE(2017,10,1),ROWS($A$2:A39)-1))</f>
        <v>2020</v>
      </c>
      <c r="C40" s="2" t="str">
        <f>PROPER(TEXT(EDATE(DATE(2019,10,1),ROWS($B$2:B39)-1),"mmm"))</f>
        <v>Nov</v>
      </c>
      <c r="F40" s="12" t="s">
        <v>45</v>
      </c>
      <c r="G40" s="13">
        <v>139000</v>
      </c>
      <c r="H40" s="33">
        <v>3020</v>
      </c>
      <c r="I40" s="45">
        <f t="shared" si="0"/>
        <v>46.026490066225165</v>
      </c>
      <c r="K40" s="49"/>
      <c r="L40" s="49">
        <f t="shared" si="1"/>
        <v>0</v>
      </c>
    </row>
    <row r="41" spans="2:12">
      <c r="B41" s="2">
        <f>YEAR(EDATE(DATE(2017,10,1),ROWS($A$2:A40)-1))</f>
        <v>2020</v>
      </c>
      <c r="C41" s="2" t="str">
        <f>PROPER(TEXT(EDATE(DATE(2019,10,1),ROWS($B$2:B40)-1),"mmm"))</f>
        <v>Dic</v>
      </c>
      <c r="F41" s="12" t="s">
        <v>45</v>
      </c>
      <c r="G41" s="13">
        <v>137000</v>
      </c>
      <c r="H41" s="33">
        <v>2543</v>
      </c>
      <c r="I41" s="45">
        <f t="shared" si="0"/>
        <v>53.873377900117973</v>
      </c>
      <c r="K41" s="49"/>
      <c r="L41" s="49">
        <f t="shared" si="1"/>
        <v>0</v>
      </c>
    </row>
    <row r="42" spans="2:12">
      <c r="B42" s="2">
        <f>YEAR(EDATE(DATE(2017,10,1),ROWS($A$2:A41)-1))</f>
        <v>2021</v>
      </c>
      <c r="C42" s="2" t="str">
        <f>PROPER(TEXT(EDATE(DATE(2019,10,1),ROWS($B$2:B41)-1),"mmm"))</f>
        <v>Ene</v>
      </c>
      <c r="F42" s="12" t="s">
        <v>45</v>
      </c>
      <c r="G42" s="13">
        <v>133138</v>
      </c>
      <c r="H42" s="33">
        <v>2974.2919999999999</v>
      </c>
      <c r="I42" s="45">
        <f t="shared" si="0"/>
        <v>44.762921730616902</v>
      </c>
      <c r="K42" s="49"/>
      <c r="L42" s="49">
        <f t="shared" si="1"/>
        <v>0</v>
      </c>
    </row>
    <row r="43" spans="2:12">
      <c r="B43" s="2">
        <f>YEAR(EDATE(DATE(2017,10,1),ROWS($A$2:A42)-1))</f>
        <v>2021</v>
      </c>
      <c r="C43" s="2" t="str">
        <f>PROPER(TEXT(EDATE(DATE(2019,10,1),ROWS($B$2:B42)-1),"mmm"))</f>
        <v>Feb</v>
      </c>
      <c r="F43" s="12" t="s">
        <v>45</v>
      </c>
      <c r="G43" s="13">
        <v>153200</v>
      </c>
      <c r="H43" s="33">
        <v>2814.9250000000002</v>
      </c>
      <c r="I43" s="45">
        <f t="shared" si="0"/>
        <v>54.424185369059565</v>
      </c>
      <c r="K43" s="49"/>
      <c r="L43" s="49">
        <f t="shared" si="1"/>
        <v>0</v>
      </c>
    </row>
    <row r="44" spans="2:12">
      <c r="B44" s="2">
        <f>YEAR(EDATE(DATE(2017,10,1),ROWS($A$2:A43)-1))</f>
        <v>2021</v>
      </c>
      <c r="C44" s="2" t="str">
        <f>PROPER(TEXT(EDATE(DATE(2019,10,1),ROWS($B$2:B43)-1),"mmm"))</f>
        <v>Mar</v>
      </c>
      <c r="F44" s="12" t="s">
        <v>45</v>
      </c>
      <c r="G44" s="13">
        <v>140000</v>
      </c>
      <c r="H44" s="33">
        <v>3033.8229999999999</v>
      </c>
      <c r="I44" s="45">
        <f t="shared" si="0"/>
        <v>46.146396806933033</v>
      </c>
      <c r="K44" s="49"/>
      <c r="L44" s="49">
        <f t="shared" si="1"/>
        <v>0</v>
      </c>
    </row>
    <row r="45" spans="2:12">
      <c r="B45" s="2">
        <f>YEAR(EDATE(DATE(2017,10,1),ROWS($A$2:A44)-1))</f>
        <v>2021</v>
      </c>
      <c r="C45" s="2" t="str">
        <f>PROPER(TEXT(EDATE(DATE(2019,10,1),ROWS($B$2:B44)-1),"mmm"))</f>
        <v>Abr</v>
      </c>
      <c r="F45" s="12" t="s">
        <v>45</v>
      </c>
      <c r="G45" s="13">
        <v>117000</v>
      </c>
      <c r="H45" s="33">
        <v>2407.9969999999998</v>
      </c>
      <c r="I45" s="45">
        <f t="shared" si="0"/>
        <v>48.588100400457314</v>
      </c>
      <c r="K45" s="49"/>
      <c r="L45" s="49">
        <f t="shared" si="1"/>
        <v>0</v>
      </c>
    </row>
    <row r="46" spans="2:12">
      <c r="B46" s="2">
        <f>YEAR(EDATE(DATE(2017,10,1),ROWS($A$2:A45)-1))</f>
        <v>2021</v>
      </c>
      <c r="C46" s="2" t="str">
        <f>PROPER(TEXT(EDATE(DATE(2019,10,1),ROWS($B$2:B45)-1),"mmm"))</f>
        <v>May</v>
      </c>
      <c r="F46" s="12" t="s">
        <v>45</v>
      </c>
      <c r="G46" s="13">
        <v>43000</v>
      </c>
      <c r="H46" s="33">
        <v>559.79999999999995</v>
      </c>
      <c r="I46" s="45">
        <f t="shared" si="0"/>
        <v>76.813147552697401</v>
      </c>
      <c r="K46" s="49"/>
      <c r="L46" s="49">
        <f t="shared" si="1"/>
        <v>0</v>
      </c>
    </row>
    <row r="47" spans="2:12">
      <c r="B47" s="2">
        <f>YEAR(EDATE(DATE(2017,10,1),ROWS($A$2:A46)-1))</f>
        <v>2021</v>
      </c>
      <c r="C47" s="2" t="str">
        <f>PROPER(TEXT(EDATE(DATE(2019,10,1),ROWS($B$2:B46)-1),"mmm"))</f>
        <v>Jun</v>
      </c>
      <c r="F47" s="12" t="s">
        <v>45</v>
      </c>
      <c r="G47" s="13">
        <v>175000</v>
      </c>
      <c r="H47" s="33">
        <v>2015.19</v>
      </c>
      <c r="I47" s="45">
        <f t="shared" si="0"/>
        <v>86.840446806504602</v>
      </c>
      <c r="K47" s="49"/>
      <c r="L47" s="49">
        <f t="shared" si="1"/>
        <v>0</v>
      </c>
    </row>
    <row r="48" spans="2:12">
      <c r="B48" s="2">
        <f>YEAR(EDATE(DATE(2017,10,1),ROWS($A$2:A47)-1))</f>
        <v>2021</v>
      </c>
      <c r="C48" s="2" t="str">
        <f>PROPER(TEXT(EDATE(DATE(2019,10,1),ROWS($B$2:B47)-1),"mmm"))</f>
        <v>Jul</v>
      </c>
      <c r="F48" s="12" t="s">
        <v>45</v>
      </c>
      <c r="G48" s="13">
        <v>73000</v>
      </c>
      <c r="H48" s="33">
        <v>2712</v>
      </c>
      <c r="I48" s="45">
        <f t="shared" si="0"/>
        <v>26.91740412979351</v>
      </c>
      <c r="K48" s="49"/>
      <c r="L48" s="49">
        <f t="shared" si="1"/>
        <v>0</v>
      </c>
    </row>
    <row r="49" spans="2:12">
      <c r="B49" s="2">
        <f>YEAR(EDATE(DATE(2017,10,1),ROWS($A$2:A48)-1))</f>
        <v>2021</v>
      </c>
      <c r="C49" s="2" t="str">
        <f>PROPER(TEXT(EDATE(DATE(2019,10,1),ROWS($B$2:B48)-1),"mmm"))</f>
        <v>Ago</v>
      </c>
      <c r="F49" s="12" t="s">
        <v>45</v>
      </c>
      <c r="G49" s="13">
        <v>180000</v>
      </c>
      <c r="H49" s="33">
        <v>2658</v>
      </c>
      <c r="I49" s="45">
        <f t="shared" si="0"/>
        <v>67.720090293453723</v>
      </c>
      <c r="K49" s="49"/>
      <c r="L49" s="49">
        <f t="shared" si="1"/>
        <v>0</v>
      </c>
    </row>
    <row r="50" spans="2:12">
      <c r="B50" s="2">
        <f>YEAR(EDATE(DATE(2017,10,1),ROWS($A$2:A49)-1))</f>
        <v>2021</v>
      </c>
      <c r="C50" s="2" t="str">
        <f>PROPER(TEXT(EDATE(DATE(2019,10,1),ROWS($B$2:B49)-1),"mmm"))</f>
        <v>Sep</v>
      </c>
      <c r="F50" s="12" t="s">
        <v>45</v>
      </c>
      <c r="G50" s="13">
        <v>172583</v>
      </c>
      <c r="H50" s="33">
        <v>2596</v>
      </c>
      <c r="I50" s="45">
        <f t="shared" si="0"/>
        <v>66.480354391371336</v>
      </c>
      <c r="K50" s="49"/>
      <c r="L50" s="49">
        <f t="shared" si="1"/>
        <v>0</v>
      </c>
    </row>
    <row r="51" spans="2:12">
      <c r="B51" s="2">
        <f>YEAR(EDATE(DATE(2017,10,1),ROWS($A$2:A50)-1))</f>
        <v>2021</v>
      </c>
      <c r="C51" s="2" t="str">
        <f>PROPER(TEXT(EDATE(DATE(2019,10,1),ROWS($B$2:B50)-1),"mmm"))</f>
        <v>Oct</v>
      </c>
      <c r="F51" s="12" t="s">
        <v>45</v>
      </c>
      <c r="G51" s="13">
        <v>132300</v>
      </c>
      <c r="H51" s="33">
        <v>2838</v>
      </c>
      <c r="I51" s="45">
        <f t="shared" si="0"/>
        <v>46.61733615221987</v>
      </c>
      <c r="K51" s="49"/>
      <c r="L51" s="49">
        <f t="shared" si="1"/>
        <v>0</v>
      </c>
    </row>
    <row r="52" spans="2:12">
      <c r="B52" s="2">
        <f>YEAR(EDATE(DATE(2017,10,1),ROWS($A$2:A51)-1))</f>
        <v>2021</v>
      </c>
      <c r="C52" s="2" t="str">
        <f>PROPER(TEXT(EDATE(DATE(2019,10,1),ROWS($B$2:B51)-1),"mmm"))</f>
        <v>Nov</v>
      </c>
      <c r="F52" s="12" t="s">
        <v>45</v>
      </c>
      <c r="G52" s="13">
        <v>226000</v>
      </c>
      <c r="H52" s="33">
        <v>3149</v>
      </c>
      <c r="I52" s="45">
        <f t="shared" si="0"/>
        <v>71.768815496983166</v>
      </c>
      <c r="K52" s="49"/>
      <c r="L52" s="49">
        <f t="shared" si="1"/>
        <v>0</v>
      </c>
    </row>
    <row r="53" spans="2:12">
      <c r="B53" s="2">
        <f>YEAR(EDATE(DATE(2017,10,1),ROWS($A$2:A52)-1))</f>
        <v>2021</v>
      </c>
      <c r="C53" s="2" t="str">
        <f>PROPER(TEXT(EDATE(DATE(2019,10,1),ROWS($B$2:B52)-1),"mmm"))</f>
        <v>Dic</v>
      </c>
      <c r="F53" s="12" t="s">
        <v>45</v>
      </c>
      <c r="G53" s="13">
        <v>144700</v>
      </c>
      <c r="H53" s="33">
        <v>2730.5</v>
      </c>
      <c r="I53" s="45">
        <f t="shared" si="0"/>
        <v>52.993957150705</v>
      </c>
      <c r="K53" s="49"/>
      <c r="L53" s="49">
        <f t="shared" si="1"/>
        <v>0</v>
      </c>
    </row>
    <row r="54" spans="2:12">
      <c r="B54" s="2">
        <f>YEAR(EDATE(DATE(2017,10,1),ROWS($A$2:A53)-1))</f>
        <v>2022</v>
      </c>
      <c r="C54" s="2" t="str">
        <f>PROPER(TEXT(EDATE(DATE(2019,10,1),ROWS($B$2:B53)-1),"mmm"))</f>
        <v>Ene</v>
      </c>
      <c r="F54" s="12" t="s">
        <v>45</v>
      </c>
      <c r="G54" s="13">
        <v>139932</v>
      </c>
      <c r="H54" s="33">
        <v>2020</v>
      </c>
      <c r="I54" s="45">
        <f t="shared" si="0"/>
        <v>69.273267326732679</v>
      </c>
      <c r="K54" s="49"/>
      <c r="L54" s="49">
        <f t="shared" si="1"/>
        <v>0</v>
      </c>
    </row>
    <row r="55" spans="2:12">
      <c r="B55" s="2">
        <f>YEAR(EDATE(DATE(2017,10,1),ROWS($A$2:A54)-1))</f>
        <v>2022</v>
      </c>
      <c r="C55" s="2" t="str">
        <f>PROPER(TEXT(EDATE(DATE(2019,10,1),ROWS($B$2:B54)-1),"mmm"))</f>
        <v>Feb</v>
      </c>
      <c r="F55" s="12" t="s">
        <v>45</v>
      </c>
      <c r="G55" s="13">
        <v>179502</v>
      </c>
      <c r="H55" s="33">
        <v>2615</v>
      </c>
      <c r="I55" s="45">
        <f t="shared" si="0"/>
        <v>68.643212237093692</v>
      </c>
      <c r="K55" s="49"/>
      <c r="L55" s="49">
        <f t="shared" si="1"/>
        <v>0</v>
      </c>
    </row>
    <row r="56" spans="2:12">
      <c r="B56" s="2">
        <f>YEAR(EDATE(DATE(2017,10,1),ROWS($A$2:A55)-1))</f>
        <v>2022</v>
      </c>
      <c r="C56" s="2" t="str">
        <f>PROPER(TEXT(EDATE(DATE(2019,10,1),ROWS($B$2:B55)-1),"mmm"))</f>
        <v>Mar</v>
      </c>
      <c r="F56" s="12" t="s">
        <v>45</v>
      </c>
      <c r="G56" s="13">
        <v>173000</v>
      </c>
      <c r="H56" s="33">
        <v>3116</v>
      </c>
      <c r="I56" s="45">
        <f t="shared" si="0"/>
        <v>55.519897304236203</v>
      </c>
      <c r="K56" s="49"/>
      <c r="L56" s="49">
        <f t="shared" si="1"/>
        <v>0</v>
      </c>
    </row>
    <row r="57" spans="2:12">
      <c r="B57" s="2">
        <f>YEAR(EDATE(DATE(2017,10,1),ROWS($A$2:A56)-1))</f>
        <v>2022</v>
      </c>
      <c r="C57" s="2" t="str">
        <f>PROPER(TEXT(EDATE(DATE(2019,10,1),ROWS($B$2:B56)-1),"mmm"))</f>
        <v>Abr</v>
      </c>
      <c r="F57" s="12" t="s">
        <v>45</v>
      </c>
      <c r="G57" s="13">
        <v>200157</v>
      </c>
      <c r="H57" s="33">
        <v>2979</v>
      </c>
      <c r="I57" s="45">
        <f t="shared" si="0"/>
        <v>67.189325276938575</v>
      </c>
      <c r="K57" s="49"/>
      <c r="L57" s="49">
        <f t="shared" si="1"/>
        <v>0</v>
      </c>
    </row>
    <row r="58" spans="2:12">
      <c r="B58" s="2">
        <f>YEAR(EDATE(DATE(2017,10,1),ROWS($A$2:A57)-1))</f>
        <v>2022</v>
      </c>
      <c r="C58" s="2" t="str">
        <f>PROPER(TEXT(EDATE(DATE(2019,10,1),ROWS($B$2:B57)-1),"mmm"))</f>
        <v>May</v>
      </c>
      <c r="F58" s="12" t="s">
        <v>45</v>
      </c>
      <c r="G58" s="13">
        <v>75799</v>
      </c>
      <c r="H58" s="33">
        <v>2396</v>
      </c>
      <c r="I58" s="45">
        <f t="shared" si="0"/>
        <v>31.635642737896493</v>
      </c>
      <c r="K58" s="49"/>
      <c r="L58" s="49">
        <f t="shared" si="1"/>
        <v>0</v>
      </c>
    </row>
    <row r="59" spans="2:12">
      <c r="B59" s="2">
        <f>YEAR(EDATE(DATE(2017,10,1),ROWS($A$2:A58)-1))</f>
        <v>2022</v>
      </c>
      <c r="C59" s="2" t="str">
        <f>PROPER(TEXT(EDATE(DATE(2019,10,1),ROWS($B$2:B58)-1),"mmm"))</f>
        <v>Jun</v>
      </c>
      <c r="F59" s="12" t="s">
        <v>45</v>
      </c>
      <c r="G59" s="13">
        <v>214212</v>
      </c>
      <c r="H59" s="33">
        <v>2980</v>
      </c>
      <c r="I59" s="45">
        <f t="shared" si="0"/>
        <v>71.883221476510073</v>
      </c>
      <c r="K59" s="49"/>
      <c r="L59" s="49">
        <f t="shared" si="1"/>
        <v>0</v>
      </c>
    </row>
    <row r="60" spans="2:12">
      <c r="B60" s="2">
        <f>YEAR(EDATE(DATE(2017,10,1),ROWS($A$2:A59)-1))</f>
        <v>2022</v>
      </c>
      <c r="C60" s="2" t="str">
        <f>PROPER(TEXT(EDATE(DATE(2019,10,1),ROWS($B$2:B59)-1),"mmm"))</f>
        <v>Jul</v>
      </c>
      <c r="F60" s="12" t="s">
        <v>45</v>
      </c>
      <c r="G60" s="13">
        <v>198800</v>
      </c>
      <c r="H60" s="33">
        <v>2780</v>
      </c>
      <c r="I60" s="45">
        <f t="shared" si="0"/>
        <v>71.510791366906474</v>
      </c>
      <c r="K60" s="49"/>
      <c r="L60" s="49">
        <f t="shared" si="1"/>
        <v>0</v>
      </c>
    </row>
    <row r="61" spans="2:12">
      <c r="B61" s="2">
        <f>YEAR(EDATE(DATE(2017,10,1),ROWS($A$2:A60)-1))</f>
        <v>2022</v>
      </c>
      <c r="C61" s="2" t="str">
        <f>PROPER(TEXT(EDATE(DATE(2019,10,1),ROWS($B$2:B60)-1),"mmm"))</f>
        <v>Ago</v>
      </c>
      <c r="F61" s="12" t="s">
        <v>45</v>
      </c>
      <c r="G61" s="13">
        <v>132000</v>
      </c>
      <c r="H61" s="33">
        <v>2338</v>
      </c>
      <c r="I61" s="45">
        <f t="shared" si="0"/>
        <v>56.458511548331906</v>
      </c>
      <c r="K61" s="49"/>
      <c r="L61" s="49">
        <f t="shared" si="1"/>
        <v>0</v>
      </c>
    </row>
    <row r="62" spans="2:12">
      <c r="B62" s="2">
        <f>YEAR(EDATE(DATE(2017,10,1),ROWS($A$2:A61)-1))</f>
        <v>2022</v>
      </c>
      <c r="C62" s="2" t="str">
        <f>PROPER(TEXT(EDATE(DATE(2019,10,1),ROWS($B$2:B61)-1),"mmm"))</f>
        <v>Sep</v>
      </c>
      <c r="F62" s="12" t="s">
        <v>45</v>
      </c>
      <c r="G62" s="13">
        <v>136000</v>
      </c>
      <c r="H62" s="33">
        <v>2830</v>
      </c>
      <c r="I62" s="45">
        <f t="shared" si="0"/>
        <v>48.056537102473499</v>
      </c>
      <c r="K62" s="49"/>
      <c r="L62" s="49">
        <f t="shared" si="1"/>
        <v>0</v>
      </c>
    </row>
    <row r="63" spans="2:12">
      <c r="B63" s="2">
        <f>YEAR(EDATE(DATE(2017,10,1),ROWS($A$2:A62)-1))</f>
        <v>2022</v>
      </c>
      <c r="C63" s="2" t="str">
        <f>PROPER(TEXT(EDATE(DATE(2019,10,1),ROWS($B$2:B62)-1),"mmm"))</f>
        <v>Oct</v>
      </c>
      <c r="F63" s="12" t="s">
        <v>45</v>
      </c>
      <c r="G63" s="13">
        <v>62000</v>
      </c>
      <c r="H63" s="33">
        <v>1688</v>
      </c>
      <c r="I63" s="45">
        <f t="shared" si="0"/>
        <v>36.729857819905213</v>
      </c>
      <c r="K63" s="49"/>
      <c r="L63" s="49">
        <f t="shared" si="1"/>
        <v>0</v>
      </c>
    </row>
    <row r="64" spans="2:12">
      <c r="B64" s="2">
        <f>YEAR(EDATE(DATE(2017,10,1),ROWS($A$2:A63)-1))</f>
        <v>2022</v>
      </c>
      <c r="C64" s="2" t="str">
        <f>PROPER(TEXT(EDATE(DATE(2019,10,1),ROWS($B$2:B63)-1),"mmm"))</f>
        <v>Nov</v>
      </c>
      <c r="F64" s="12" t="s">
        <v>45</v>
      </c>
      <c r="G64" s="13">
        <v>206086</v>
      </c>
      <c r="H64" s="33">
        <v>2471</v>
      </c>
      <c r="I64" s="45">
        <f t="shared" si="0"/>
        <v>83.401861594496154</v>
      </c>
      <c r="K64" s="49"/>
      <c r="L64" s="49">
        <f t="shared" si="1"/>
        <v>0</v>
      </c>
    </row>
    <row r="65" spans="2:12">
      <c r="B65" s="2">
        <f>YEAR(EDATE(DATE(2017,10,1),ROWS($A$2:A64)-1))</f>
        <v>2022</v>
      </c>
      <c r="C65" s="2" t="str">
        <f>PROPER(TEXT(EDATE(DATE(2019,10,1),ROWS($B$2:B64)-1),"mmm"))</f>
        <v>Dic</v>
      </c>
      <c r="F65" s="12" t="s">
        <v>45</v>
      </c>
      <c r="G65" s="13">
        <v>160127.41999999998</v>
      </c>
      <c r="H65" s="33">
        <v>2692</v>
      </c>
      <c r="I65" s="45">
        <f t="shared" si="0"/>
        <v>59.482696879643385</v>
      </c>
      <c r="K65" s="49"/>
      <c r="L65" s="49">
        <f t="shared" si="1"/>
        <v>0</v>
      </c>
    </row>
    <row r="66" spans="2:12">
      <c r="B66" s="2">
        <f>YEAR(EDATE(DATE(2017,10,1),ROWS($A$2:A65)-1))</f>
        <v>2023</v>
      </c>
      <c r="C66" s="2" t="str">
        <f>PROPER(TEXT(EDATE(DATE(2019,10,1),ROWS($B$2:B65)-1),"mmm"))</f>
        <v>Ene</v>
      </c>
      <c r="F66" s="12" t="s">
        <v>45</v>
      </c>
      <c r="G66" s="13">
        <v>176503.9</v>
      </c>
      <c r="H66" s="33">
        <v>2912</v>
      </c>
      <c r="I66" s="45">
        <f t="shared" si="0"/>
        <v>60.612603021978018</v>
      </c>
      <c r="K66" s="49"/>
      <c r="L66" s="49">
        <f t="shared" si="1"/>
        <v>0</v>
      </c>
    </row>
    <row r="67" spans="2:12">
      <c r="B67" s="2">
        <f>YEAR(EDATE(DATE(2017,10,1),ROWS($A$2:A66)-1))</f>
        <v>2023</v>
      </c>
      <c r="C67" s="2" t="str">
        <f>PROPER(TEXT(EDATE(DATE(2019,10,1),ROWS($B$2:B66)-1),"mmm"))</f>
        <v>Feb</v>
      </c>
      <c r="F67" s="12" t="s">
        <v>45</v>
      </c>
      <c r="G67" s="13">
        <v>202330</v>
      </c>
      <c r="H67" s="33">
        <v>2603</v>
      </c>
      <c r="I67" s="45">
        <f t="shared" si="0"/>
        <v>77.729542835190159</v>
      </c>
      <c r="K67" s="49"/>
      <c r="L67" s="49">
        <f t="shared" si="1"/>
        <v>0</v>
      </c>
    </row>
    <row r="68" spans="2:12">
      <c r="B68" s="2">
        <f>YEAR(EDATE(DATE(2017,10,1),ROWS($A$2:A67)-1))</f>
        <v>2023</v>
      </c>
      <c r="C68" s="2" t="str">
        <f>PROPER(TEXT(EDATE(DATE(2019,10,1),ROWS($B$2:B67)-1),"mmm"))</f>
        <v>Mar</v>
      </c>
      <c r="F68" s="12" t="s">
        <v>45</v>
      </c>
      <c r="G68" s="13">
        <v>157660</v>
      </c>
      <c r="H68" s="33">
        <v>2699</v>
      </c>
      <c r="I68" s="45">
        <f t="shared" ref="I68:I107" si="2">G68/H68</f>
        <v>58.414227491663581</v>
      </c>
      <c r="K68" s="49"/>
      <c r="L68" s="49">
        <f t="shared" ref="L68:L107" si="3">K68*G68</f>
        <v>0</v>
      </c>
    </row>
    <row r="69" spans="2:12">
      <c r="B69" s="2">
        <f>YEAR(EDATE(DATE(2017,10,1),ROWS($A$2:A68)-1))</f>
        <v>2023</v>
      </c>
      <c r="C69" s="2" t="str">
        <f>PROPER(TEXT(EDATE(DATE(2019,10,1),ROWS($B$2:B68)-1),"mmm"))</f>
        <v>Abr</v>
      </c>
      <c r="F69" s="12" t="s">
        <v>45</v>
      </c>
      <c r="G69" s="13">
        <v>182595</v>
      </c>
      <c r="H69" s="33">
        <v>2280.8000000000002</v>
      </c>
      <c r="I69" s="45">
        <f t="shared" si="2"/>
        <v>80.057435987372841</v>
      </c>
      <c r="K69" s="49"/>
      <c r="L69" s="49">
        <f t="shared" si="3"/>
        <v>0</v>
      </c>
    </row>
    <row r="70" spans="2:12">
      <c r="B70" s="2">
        <f>YEAR(EDATE(DATE(2017,10,1),ROWS($A$2:A69)-1))</f>
        <v>2023</v>
      </c>
      <c r="C70" s="2" t="str">
        <f>PROPER(TEXT(EDATE(DATE(2019,10,1),ROWS($B$2:B69)-1),"mmm"))</f>
        <v>May</v>
      </c>
      <c r="F70" s="12" t="s">
        <v>45</v>
      </c>
      <c r="G70" s="13">
        <v>208438</v>
      </c>
      <c r="H70" s="33">
        <v>2223.8665000000001</v>
      </c>
      <c r="I70" s="45">
        <f t="shared" si="2"/>
        <v>93.727748495694314</v>
      </c>
      <c r="K70" s="49"/>
      <c r="L70" s="49">
        <f t="shared" si="3"/>
        <v>0</v>
      </c>
    </row>
    <row r="71" spans="2:12">
      <c r="B71" s="2">
        <f>YEAR(EDATE(DATE(2017,10,1),ROWS($A$2:A70)-1))</f>
        <v>2023</v>
      </c>
      <c r="C71" s="2" t="str">
        <f>PROPER(TEXT(EDATE(DATE(2019,10,1),ROWS($B$2:B70)-1),"mmm"))</f>
        <v>Jun</v>
      </c>
      <c r="F71" s="12" t="s">
        <v>45</v>
      </c>
      <c r="G71" s="13">
        <v>258360.75</v>
      </c>
      <c r="H71" s="33">
        <v>2927</v>
      </c>
      <c r="I71" s="45">
        <f t="shared" si="2"/>
        <v>88.268107277075501</v>
      </c>
      <c r="K71" s="49"/>
      <c r="L71" s="49">
        <f t="shared" si="3"/>
        <v>0</v>
      </c>
    </row>
    <row r="72" spans="2:12">
      <c r="B72" s="2">
        <f>YEAR(EDATE(DATE(2017,10,1),ROWS($A$2:A71)-1))</f>
        <v>2023</v>
      </c>
      <c r="C72" s="2" t="str">
        <f>PROPER(TEXT(EDATE(DATE(2019,10,1),ROWS($B$2:B71)-1),"mmm"))</f>
        <v>Jul</v>
      </c>
      <c r="F72" s="12" t="s">
        <v>45</v>
      </c>
      <c r="G72" s="13">
        <v>363389.11952699831</v>
      </c>
      <c r="H72" s="33">
        <v>2515</v>
      </c>
      <c r="I72" s="45">
        <f t="shared" si="2"/>
        <v>144.48871551769318</v>
      </c>
      <c r="K72" s="49"/>
      <c r="L72" s="49">
        <f t="shared" si="3"/>
        <v>0</v>
      </c>
    </row>
    <row r="73" spans="2:12">
      <c r="B73" s="2">
        <f>YEAR(EDATE(DATE(2017,10,1),ROWS($A$2:A72)-1))</f>
        <v>2023</v>
      </c>
      <c r="C73" s="2" t="str">
        <f>PROPER(TEXT(EDATE(DATE(2019,10,1),ROWS($B$2:B72)-1),"mmm"))</f>
        <v>Ago</v>
      </c>
      <c r="F73" s="12" t="s">
        <v>45</v>
      </c>
      <c r="G73" s="13">
        <v>262952</v>
      </c>
      <c r="H73" s="33">
        <v>2131.895</v>
      </c>
      <c r="I73" s="45">
        <f t="shared" si="2"/>
        <v>123.34190942799715</v>
      </c>
      <c r="K73" s="49"/>
      <c r="L73" s="49">
        <f t="shared" si="3"/>
        <v>0</v>
      </c>
    </row>
    <row r="74" spans="2:12">
      <c r="B74" s="2">
        <f>YEAR(EDATE(DATE(2017,10,1),ROWS($A$2:A73)-1))</f>
        <v>2023</v>
      </c>
      <c r="C74" s="2" t="str">
        <f>PROPER(TEXT(EDATE(DATE(2019,10,1),ROWS($B$2:B73)-1),"mmm"))</f>
        <v>Sep</v>
      </c>
      <c r="F74" s="12" t="s">
        <v>45</v>
      </c>
      <c r="G74" s="13">
        <v>326939.62909885799</v>
      </c>
      <c r="H74" s="33">
        <v>2190.3069999999998</v>
      </c>
      <c r="I74" s="45">
        <f t="shared" si="2"/>
        <v>149.26657728750263</v>
      </c>
      <c r="K74" s="49"/>
      <c r="L74" s="49">
        <f t="shared" si="3"/>
        <v>0</v>
      </c>
    </row>
    <row r="75" spans="2:12">
      <c r="B75" s="2">
        <f>YEAR(EDATE(DATE(2017,10,1),ROWS($A$2:A74)-1))</f>
        <v>2023</v>
      </c>
      <c r="C75" s="2" t="str">
        <f>PROPER(TEXT(EDATE(DATE(2019,10,1),ROWS($B$2:B74)-1),"mmm"))</f>
        <v>Oct</v>
      </c>
      <c r="F75" s="12" t="s">
        <v>45</v>
      </c>
      <c r="G75" s="13">
        <v>283429.78399999999</v>
      </c>
      <c r="H75" s="33">
        <v>2676</v>
      </c>
      <c r="I75" s="45">
        <f t="shared" si="2"/>
        <v>105.91546487294468</v>
      </c>
      <c r="K75" s="49"/>
      <c r="L75" s="49">
        <f t="shared" si="3"/>
        <v>0</v>
      </c>
    </row>
    <row r="76" spans="2:12">
      <c r="B76" s="2">
        <f>YEAR(EDATE(DATE(2017,10,1),ROWS($A$2:A75)-1))</f>
        <v>2023</v>
      </c>
      <c r="C76" s="2" t="str">
        <f>PROPER(TEXT(EDATE(DATE(2019,10,1),ROWS($B$2:B75)-1),"mmm"))</f>
        <v>Nov</v>
      </c>
      <c r="F76" s="12" t="s">
        <v>45</v>
      </c>
      <c r="G76" s="13">
        <v>354077.94999999984</v>
      </c>
      <c r="H76" s="33">
        <v>2558</v>
      </c>
      <c r="I76" s="45">
        <f t="shared" si="2"/>
        <v>138.41983971853003</v>
      </c>
      <c r="K76" s="49"/>
      <c r="L76" s="49">
        <f t="shared" si="3"/>
        <v>0</v>
      </c>
    </row>
    <row r="77" spans="2:12">
      <c r="B77" s="2">
        <f>YEAR(EDATE(DATE(2017,10,1),ROWS($A$2:A76)-1))</f>
        <v>2023</v>
      </c>
      <c r="C77" s="2" t="str">
        <f>PROPER(TEXT(EDATE(DATE(2019,10,1),ROWS($B$2:B76)-1),"mmm"))</f>
        <v>Dic</v>
      </c>
      <c r="F77" s="12" t="s">
        <v>45</v>
      </c>
      <c r="G77" s="13">
        <v>261242.83897142857</v>
      </c>
      <c r="H77" s="33">
        <v>2484</v>
      </c>
      <c r="I77" s="45">
        <f t="shared" si="2"/>
        <v>105.17022502875547</v>
      </c>
      <c r="K77" s="49"/>
      <c r="L77" s="49">
        <f t="shared" si="3"/>
        <v>0</v>
      </c>
    </row>
    <row r="78" spans="2:12">
      <c r="B78" s="2">
        <f>YEAR(EDATE(DATE(2017,10,1),ROWS($A$2:A77)-1))</f>
        <v>2024</v>
      </c>
      <c r="C78" s="2" t="str">
        <f>PROPER(TEXT(EDATE(DATE(2019,10,1),ROWS($B$2:B77)-1),"mmm"))</f>
        <v>Ene</v>
      </c>
      <c r="F78" s="12" t="s">
        <v>45</v>
      </c>
      <c r="G78" s="13">
        <v>281971.68</v>
      </c>
      <c r="H78" s="33">
        <v>2489</v>
      </c>
      <c r="I78" s="45">
        <f t="shared" si="2"/>
        <v>113.28713539574126</v>
      </c>
      <c r="K78" s="49"/>
      <c r="L78" s="49">
        <f t="shared" si="3"/>
        <v>0</v>
      </c>
    </row>
    <row r="79" spans="2:12">
      <c r="B79" s="2">
        <f>YEAR(EDATE(DATE(2017,10,1),ROWS($A$2:A78)-1))</f>
        <v>2024</v>
      </c>
      <c r="C79" s="2" t="str">
        <f>PROPER(TEXT(EDATE(DATE(2019,10,1),ROWS($B$2:B78)-1),"mmm"))</f>
        <v>Feb</v>
      </c>
      <c r="F79" s="12" t="s">
        <v>45</v>
      </c>
      <c r="G79" s="13">
        <v>309584.22000000009</v>
      </c>
      <c r="H79" s="33">
        <v>2648</v>
      </c>
      <c r="I79" s="45">
        <f t="shared" si="2"/>
        <v>116.91246978851967</v>
      </c>
      <c r="K79" s="49"/>
      <c r="L79" s="49">
        <f t="shared" si="3"/>
        <v>0</v>
      </c>
    </row>
    <row r="80" spans="2:12">
      <c r="B80" s="2">
        <f>YEAR(EDATE(DATE(2017,10,1),ROWS($A$2:A79)-1))</f>
        <v>2024</v>
      </c>
      <c r="C80" s="2" t="str">
        <f>PROPER(TEXT(EDATE(DATE(2019,10,1),ROWS($B$2:B79)-1),"mmm"))</f>
        <v>Mar</v>
      </c>
      <c r="F80" s="12" t="s">
        <v>45</v>
      </c>
      <c r="G80" s="13">
        <v>280126.30334894673</v>
      </c>
      <c r="H80" s="33">
        <v>2475</v>
      </c>
      <c r="I80" s="45">
        <f t="shared" si="2"/>
        <v>113.18234478745323</v>
      </c>
      <c r="K80" s="49"/>
      <c r="L80" s="49">
        <f t="shared" si="3"/>
        <v>0</v>
      </c>
    </row>
    <row r="81" spans="2:12">
      <c r="B81" s="2">
        <f>YEAR(EDATE(DATE(2017,10,1),ROWS($A$2:A80)-1))</f>
        <v>2024</v>
      </c>
      <c r="C81" s="2" t="str">
        <f>PROPER(TEXT(EDATE(DATE(2019,10,1),ROWS($B$2:B80)-1),"mmm"))</f>
        <v>Abr</v>
      </c>
      <c r="F81" s="12" t="s">
        <v>45</v>
      </c>
      <c r="G81" s="13">
        <v>103581.56275862076</v>
      </c>
      <c r="H81" s="33">
        <v>2450</v>
      </c>
      <c r="I81" s="45">
        <f t="shared" si="2"/>
        <v>42.278188881069696</v>
      </c>
      <c r="K81" s="49"/>
      <c r="L81" s="49">
        <f t="shared" si="3"/>
        <v>0</v>
      </c>
    </row>
    <row r="82" spans="2:12">
      <c r="B82" s="2">
        <f>YEAR(EDATE(DATE(2017,10,1),ROWS($A$2:A81)-1))</f>
        <v>2024</v>
      </c>
      <c r="C82" s="2" t="str">
        <f>PROPER(TEXT(EDATE(DATE(2019,10,1),ROWS($B$2:B81)-1),"mmm"))</f>
        <v>May</v>
      </c>
      <c r="F82" s="12" t="s">
        <v>45</v>
      </c>
      <c r="G82" s="13">
        <v>257514</v>
      </c>
      <c r="H82" s="33">
        <v>3036</v>
      </c>
      <c r="I82" s="45">
        <f t="shared" si="2"/>
        <v>84.820158102766797</v>
      </c>
      <c r="K82" s="49"/>
      <c r="L82" s="49">
        <f t="shared" si="3"/>
        <v>0</v>
      </c>
    </row>
    <row r="83" spans="2:12">
      <c r="B83" s="2">
        <f>YEAR(EDATE(DATE(2017,10,1),ROWS($A$2:A82)-1))</f>
        <v>2024</v>
      </c>
      <c r="C83" s="2" t="str">
        <f>PROPER(TEXT(EDATE(DATE(2019,10,1),ROWS($B$2:B82)-1),"mmm"))</f>
        <v>Jun</v>
      </c>
      <c r="F83" s="12" t="s">
        <v>45</v>
      </c>
      <c r="G83" s="13">
        <v>267983.92499999999</v>
      </c>
      <c r="H83" s="33">
        <v>2811</v>
      </c>
      <c r="I83" s="45">
        <f t="shared" si="2"/>
        <v>95.334018143009601</v>
      </c>
      <c r="K83" s="49"/>
      <c r="L83" s="49">
        <f t="shared" si="3"/>
        <v>0</v>
      </c>
    </row>
    <row r="84" spans="2:12">
      <c r="B84" s="2">
        <f>YEAR(EDATE(DATE(2017,10,1),ROWS($A$2:A83)-1))</f>
        <v>2024</v>
      </c>
      <c r="C84" s="2" t="str">
        <f>PROPER(TEXT(EDATE(DATE(2019,10,1),ROWS($B$2:B83)-1),"mmm"))</f>
        <v>Jul</v>
      </c>
      <c r="F84" s="12" t="s">
        <v>45</v>
      </c>
      <c r="G84" s="13">
        <v>235547.00673483705</v>
      </c>
      <c r="H84" s="33">
        <v>3096</v>
      </c>
      <c r="I84" s="45">
        <f t="shared" si="2"/>
        <v>76.081074526756154</v>
      </c>
      <c r="K84" s="49"/>
      <c r="L84" s="49">
        <f t="shared" si="3"/>
        <v>0</v>
      </c>
    </row>
    <row r="85" spans="2:12">
      <c r="B85" s="2">
        <f>YEAR(EDATE(DATE(2017,10,1),ROWS($A$2:A84)-1))</f>
        <v>2024</v>
      </c>
      <c r="C85" s="2" t="str">
        <f>PROPER(TEXT(EDATE(DATE(2019,10,1),ROWS($B$2:B84)-1),"mmm"))</f>
        <v>Ago</v>
      </c>
      <c r="F85" s="12" t="s">
        <v>45</v>
      </c>
      <c r="G85" s="13">
        <v>270085.47713949654</v>
      </c>
      <c r="H85" s="33">
        <v>3065</v>
      </c>
      <c r="I85" s="45">
        <f t="shared" si="2"/>
        <v>88.119242133604089</v>
      </c>
      <c r="K85" s="49"/>
      <c r="L85" s="49">
        <f t="shared" si="3"/>
        <v>0</v>
      </c>
    </row>
    <row r="86" spans="2:12">
      <c r="B86" s="2">
        <f>YEAR(EDATE(DATE(2017,10,1),ROWS($A$2:A85)-1))</f>
        <v>2024</v>
      </c>
      <c r="C86" s="2" t="str">
        <f>PROPER(TEXT(EDATE(DATE(2019,10,1),ROWS($B$2:B85)-1),"mmm"))</f>
        <v>Sep</v>
      </c>
      <c r="F86" s="12" t="s">
        <v>45</v>
      </c>
      <c r="G86" s="13">
        <v>242622.40819449999</v>
      </c>
      <c r="H86" s="33">
        <v>2275.6860000000001</v>
      </c>
      <c r="I86" s="45">
        <f t="shared" si="2"/>
        <v>106.61506385085639</v>
      </c>
      <c r="K86" s="49"/>
      <c r="L86" s="49">
        <f t="shared" si="3"/>
        <v>0</v>
      </c>
    </row>
    <row r="87" spans="2:12">
      <c r="B87" s="2">
        <f>YEAR(EDATE(DATE(2017,10,1),ROWS($A$2:A86)-1))</f>
        <v>2024</v>
      </c>
      <c r="C87" s="2" t="str">
        <f>PROPER(TEXT(EDATE(DATE(2019,10,1),ROWS($B$2:B86)-1),"mmm"))</f>
        <v>Oct</v>
      </c>
      <c r="F87" s="12" t="s">
        <v>45</v>
      </c>
      <c r="G87" s="13">
        <v>249002.98690214037</v>
      </c>
      <c r="H87" s="33">
        <v>2601.991</v>
      </c>
      <c r="I87" s="45">
        <f t="shared" si="2"/>
        <v>95.697097684865312</v>
      </c>
      <c r="K87" s="49"/>
      <c r="L87" s="49">
        <f t="shared" si="3"/>
        <v>0</v>
      </c>
    </row>
    <row r="88" spans="2:12">
      <c r="B88" s="2">
        <f>YEAR(EDATE(DATE(2017,10,1),ROWS($A$2:A87)-1))</f>
        <v>2024</v>
      </c>
      <c r="C88" s="2" t="str">
        <f>PROPER(TEXT(EDATE(DATE(2019,10,1),ROWS($B$2:B87)-1),"mmm"))</f>
        <v>Nov</v>
      </c>
      <c r="F88" s="12" t="s">
        <v>45</v>
      </c>
      <c r="G88" s="13">
        <v>181942.29615891894</v>
      </c>
      <c r="H88" s="33">
        <v>2618</v>
      </c>
      <c r="I88" s="45">
        <f t="shared" si="2"/>
        <v>69.496675385377742</v>
      </c>
      <c r="K88" s="49"/>
      <c r="L88" s="49">
        <f t="shared" si="3"/>
        <v>0</v>
      </c>
    </row>
    <row r="89" spans="2:12">
      <c r="B89" s="2">
        <f>YEAR(EDATE(DATE(2017,10,1),ROWS($A$2:A88)-1))</f>
        <v>2024</v>
      </c>
      <c r="C89" s="2" t="str">
        <f>PROPER(TEXT(EDATE(DATE(2019,10,1),ROWS($B$2:B88)-1),"mmm"))</f>
        <v>Dic</v>
      </c>
      <c r="F89" s="12" t="s">
        <v>45</v>
      </c>
      <c r="G89" s="13">
        <v>198632.27899361122</v>
      </c>
      <c r="H89" s="33">
        <v>2628</v>
      </c>
      <c r="I89" s="45">
        <f t="shared" si="2"/>
        <v>75.583058977782045</v>
      </c>
      <c r="K89" s="49"/>
      <c r="L89" s="49">
        <f t="shared" si="3"/>
        <v>0</v>
      </c>
    </row>
    <row r="90" spans="2:12">
      <c r="B90" s="2">
        <f>YEAR(EDATE(DATE(2017,10,1),ROWS($A$2:A89)-1))</f>
        <v>2025</v>
      </c>
      <c r="C90" s="2" t="str">
        <f>PROPER(TEXT(EDATE(DATE(2019,10,1),ROWS($B$2:B89)-1),"mmm"))</f>
        <v>Ene</v>
      </c>
      <c r="F90" s="12" t="s">
        <v>45</v>
      </c>
      <c r="G90" s="13">
        <v>241662</v>
      </c>
      <c r="H90" s="33">
        <v>3136.7159999999999</v>
      </c>
      <c r="I90" s="45">
        <f t="shared" si="2"/>
        <v>77.042996560734224</v>
      </c>
      <c r="K90" s="49"/>
      <c r="L90" s="49">
        <f t="shared" si="3"/>
        <v>0</v>
      </c>
    </row>
    <row r="91" spans="2:12">
      <c r="B91" s="2">
        <f>YEAR(EDATE(DATE(2017,10,1),ROWS($A$2:A90)-1))</f>
        <v>2025</v>
      </c>
      <c r="C91" s="2" t="str">
        <f>PROPER(TEXT(EDATE(DATE(2019,10,1),ROWS($B$2:B90)-1),"mmm"))</f>
        <v>Feb</v>
      </c>
      <c r="F91" s="12" t="s">
        <v>45</v>
      </c>
      <c r="G91" s="13">
        <v>155464.21999999988</v>
      </c>
      <c r="H91" s="33">
        <v>2259</v>
      </c>
      <c r="I91" s="45">
        <f t="shared" si="2"/>
        <v>68.819929172200034</v>
      </c>
      <c r="K91" s="49"/>
      <c r="L91" s="49">
        <f t="shared" si="3"/>
        <v>0</v>
      </c>
    </row>
    <row r="92" spans="2:12">
      <c r="B92" s="2">
        <f>YEAR(EDATE(DATE(2017,10,1),ROWS($A$2:A91)-1))</f>
        <v>2025</v>
      </c>
      <c r="C92" s="2" t="str">
        <f>PROPER(TEXT(EDATE(DATE(2019,10,1),ROWS($B$2:B91)-1),"mmm"))</f>
        <v>Mar</v>
      </c>
      <c r="F92" s="12" t="s">
        <v>45</v>
      </c>
      <c r="G92" s="13">
        <v>201752</v>
      </c>
      <c r="H92" s="33">
        <v>2321</v>
      </c>
      <c r="I92" s="45">
        <f t="shared" si="2"/>
        <v>86.924601464885825</v>
      </c>
      <c r="K92" s="49"/>
      <c r="L92" s="49">
        <f t="shared" si="3"/>
        <v>0</v>
      </c>
    </row>
    <row r="93" spans="2:12">
      <c r="B93" s="2">
        <f>YEAR(EDATE(DATE(2017,10,1),ROWS($A$2:A92)-1))</f>
        <v>2025</v>
      </c>
      <c r="C93" s="2" t="str">
        <f>PROPER(TEXT(EDATE(DATE(2019,10,1),ROWS($B$2:B92)-1),"mmm"))</f>
        <v>Abr</v>
      </c>
      <c r="F93" s="12" t="s">
        <v>45</v>
      </c>
      <c r="G93" s="13">
        <v>126187</v>
      </c>
      <c r="H93" s="33">
        <v>1854</v>
      </c>
      <c r="I93" s="45">
        <f t="shared" si="2"/>
        <v>68.062028047464935</v>
      </c>
      <c r="K93" s="49"/>
      <c r="L93" s="49">
        <f t="shared" si="3"/>
        <v>0</v>
      </c>
    </row>
    <row r="94" spans="2:12">
      <c r="B94" s="2">
        <f>YEAR(EDATE(DATE(2017,10,1),ROWS($A$2:A93)-1))</f>
        <v>2025</v>
      </c>
      <c r="C94" s="2" t="str">
        <f>PROPER(TEXT(EDATE(DATE(2019,10,1),ROWS($B$2:B93)-1),"mmm"))</f>
        <v>May</v>
      </c>
      <c r="F94" s="12" t="s">
        <v>45</v>
      </c>
      <c r="G94" s="13">
        <v>248758.83200000005</v>
      </c>
      <c r="H94" s="33">
        <v>2211</v>
      </c>
      <c r="I94" s="45">
        <f t="shared" si="2"/>
        <v>112.50964812302128</v>
      </c>
      <c r="K94" s="49"/>
      <c r="L94" s="49">
        <f t="shared" si="3"/>
        <v>0</v>
      </c>
    </row>
    <row r="95" spans="2:12">
      <c r="B95" s="2">
        <f>YEAR(EDATE(DATE(2017,10,1),ROWS($A$2:A94)-1))</f>
        <v>2025</v>
      </c>
      <c r="C95" s="2" t="str">
        <f>PROPER(TEXT(EDATE(DATE(2019,10,1),ROWS($B$2:B94)-1),"mmm"))</f>
        <v>Jun</v>
      </c>
      <c r="F95" s="12" t="s">
        <v>45</v>
      </c>
      <c r="G95" s="13">
        <v>262751</v>
      </c>
      <c r="H95" s="33">
        <v>2563</v>
      </c>
      <c r="I95" s="45">
        <f t="shared" si="2"/>
        <v>102.51697229808818</v>
      </c>
      <c r="K95" s="49"/>
      <c r="L95" s="49">
        <f t="shared" si="3"/>
        <v>0</v>
      </c>
    </row>
    <row r="96" spans="2:12">
      <c r="B96" s="2">
        <f>YEAR(EDATE(DATE(2017,10,1),ROWS($A$2:A95)-1))</f>
        <v>2025</v>
      </c>
      <c r="C96" s="2" t="str">
        <f>PROPER(TEXT(EDATE(DATE(2019,10,1),ROWS($B$2:B95)-1),"mmm"))</f>
        <v>Jul</v>
      </c>
      <c r="F96" s="12" t="s">
        <v>45</v>
      </c>
      <c r="G96" s="13">
        <v>179624</v>
      </c>
      <c r="H96" s="33">
        <v>1894</v>
      </c>
      <c r="I96" s="45">
        <f t="shared" si="2"/>
        <v>94.838437170010565</v>
      </c>
      <c r="K96" s="49"/>
      <c r="L96" s="49">
        <f t="shared" si="3"/>
        <v>0</v>
      </c>
    </row>
    <row r="97" spans="2:12">
      <c r="B97" s="2">
        <f>YEAR(EDATE(DATE(2017,10,1),ROWS($A$2:A96)-1))</f>
        <v>2025</v>
      </c>
      <c r="C97" s="2" t="str">
        <f>PROPER(TEXT(EDATE(DATE(2019,10,1),ROWS($B$2:B96)-1),"mmm"))</f>
        <v>Ago</v>
      </c>
      <c r="F97" s="12" t="s">
        <v>45</v>
      </c>
      <c r="G97" s="13">
        <v>223285.96762718284</v>
      </c>
      <c r="H97" s="33">
        <v>2054</v>
      </c>
      <c r="I97" s="45">
        <f t="shared" si="2"/>
        <v>108.70787128879398</v>
      </c>
      <c r="K97" s="49"/>
      <c r="L97" s="49">
        <f t="shared" si="3"/>
        <v>0</v>
      </c>
    </row>
    <row r="98" spans="2:12">
      <c r="B98" s="2">
        <f>YEAR(EDATE(DATE(2017,10,1),ROWS($A$2:A97)-1))</f>
        <v>2025</v>
      </c>
      <c r="C98" s="2" t="str">
        <f>PROPER(TEXT(EDATE(DATE(2019,10,1),ROWS($B$2:B97)-1),"mmm"))</f>
        <v>Sep</v>
      </c>
      <c r="F98" s="12" t="s">
        <v>45</v>
      </c>
      <c r="G98" s="13">
        <v>148443.03200000001</v>
      </c>
      <c r="H98" s="33">
        <v>1981</v>
      </c>
      <c r="I98" s="45">
        <f t="shared" si="2"/>
        <v>74.933383139828379</v>
      </c>
      <c r="K98" s="49"/>
      <c r="L98" s="49">
        <f t="shared" si="3"/>
        <v>0</v>
      </c>
    </row>
    <row r="99" spans="2:12">
      <c r="B99" s="2">
        <f>YEAR(EDATE(DATE(2017,10,1),ROWS($A$2:A98)-1))</f>
        <v>2025</v>
      </c>
      <c r="C99" s="2" t="str">
        <f>PROPER(TEXT(EDATE(DATE(2019,10,1),ROWS($B$2:B98)-1),"mmm"))</f>
        <v>Oct</v>
      </c>
      <c r="F99" s="12" t="s">
        <v>45</v>
      </c>
      <c r="G99" s="13">
        <v>179751.64057630967</v>
      </c>
      <c r="H99" s="33">
        <v>2066.0610000000001</v>
      </c>
      <c r="I99" s="45">
        <f t="shared" si="2"/>
        <v>87.00209750646745</v>
      </c>
      <c r="K99" s="49">
        <f>ROUND(AVERAGE('[1]HIST GAS'!$P$84:$R$84),2)</f>
        <v>1681.7</v>
      </c>
      <c r="L99" s="49">
        <f>K99*G99</f>
        <v>302288333.95717996</v>
      </c>
    </row>
    <row r="100" spans="2:12">
      <c r="B100" s="2">
        <f>YEAR(EDATE(DATE(2017,10,1),ROWS($A$2:A99)-1))</f>
        <v>2025</v>
      </c>
      <c r="C100" s="2" t="str">
        <f>PROPER(TEXT(EDATE(DATE(2019,10,1),ROWS($B$2:B99)-1),"mmm"))</f>
        <v>Nov</v>
      </c>
      <c r="F100" s="12" t="s">
        <v>45</v>
      </c>
      <c r="G100" s="13">
        <v>307904.52094702295</v>
      </c>
      <c r="H100" s="33">
        <v>1621</v>
      </c>
      <c r="I100" s="45">
        <f t="shared" si="2"/>
        <v>189.94726770328373</v>
      </c>
      <c r="K100" s="49">
        <f>+K99</f>
        <v>1681.7</v>
      </c>
      <c r="L100" s="49">
        <f t="shared" si="3"/>
        <v>517803032.87660849</v>
      </c>
    </row>
    <row r="101" spans="2:12">
      <c r="B101" s="2">
        <f>YEAR(EDATE(DATE(2017,10,1),ROWS($A$2:A100)-1))</f>
        <v>2025</v>
      </c>
      <c r="C101" s="2" t="str">
        <f>PROPER(TEXT(EDATE(DATE(2019,10,1),ROWS($B$2:B100)-1),"mmm"))</f>
        <v>Dic</v>
      </c>
      <c r="F101" s="12" t="s">
        <v>45</v>
      </c>
      <c r="G101" s="13">
        <v>67887.375</v>
      </c>
      <c r="H101" s="33">
        <v>1442</v>
      </c>
      <c r="I101" s="45">
        <f t="shared" si="2"/>
        <v>47.078623439667126</v>
      </c>
      <c r="K101" s="49">
        <f>+K100</f>
        <v>1681.7</v>
      </c>
      <c r="L101" s="49">
        <f t="shared" si="3"/>
        <v>114166198.53750001</v>
      </c>
    </row>
    <row r="102" spans="2:12">
      <c r="B102" s="2">
        <f>YEAR(EDATE(DATE(2017,10,1),ROWS($A$2:A101)-1))</f>
        <v>2026</v>
      </c>
      <c r="C102" s="2" t="str">
        <f>PROPER(TEXT(EDATE(DATE(2019,10,1),ROWS($B$2:B101)-1),"mmm"))</f>
        <v>Ene</v>
      </c>
      <c r="F102" s="12" t="s">
        <v>45</v>
      </c>
      <c r="G102" s="13">
        <v>182382.1</v>
      </c>
      <c r="H102" s="33">
        <v>1346</v>
      </c>
      <c r="I102" s="45">
        <f t="shared" si="2"/>
        <v>135.49933135215454</v>
      </c>
      <c r="K102" s="49">
        <f>+K101*[1]ENERGIA!$A$1</f>
        <v>1799.4190000000001</v>
      </c>
      <c r="L102" s="49">
        <f t="shared" si="3"/>
        <v>328181815.99990004</v>
      </c>
    </row>
    <row r="103" spans="2:12">
      <c r="B103" s="2">
        <f>YEAR(EDATE(DATE(2017,10,1),ROWS($A$2:A102)-1))</f>
        <v>2026</v>
      </c>
      <c r="C103" s="2" t="str">
        <f>PROPER(TEXT(EDATE(DATE(2019,10,1),ROWS($B$2:B102)-1),"mmm"))</f>
        <v>Feb</v>
      </c>
      <c r="F103" s="12" t="s">
        <v>45</v>
      </c>
      <c r="G103" s="13">
        <v>212100</v>
      </c>
      <c r="H103" s="33">
        <v>1799</v>
      </c>
      <c r="I103" s="45">
        <f t="shared" si="2"/>
        <v>117.8988326848249</v>
      </c>
      <c r="K103" s="49">
        <f>+K102</f>
        <v>1799.4190000000001</v>
      </c>
      <c r="L103" s="49">
        <f t="shared" si="3"/>
        <v>381656769.90000004</v>
      </c>
    </row>
    <row r="104" spans="2:12">
      <c r="B104" s="2">
        <f>YEAR(EDATE(DATE(2017,10,1),ROWS($A$2:A103)-1))</f>
        <v>2026</v>
      </c>
      <c r="C104" s="2" t="str">
        <f>PROPER(TEXT(EDATE(DATE(2019,10,1),ROWS($B$2:B103)-1),"mmm"))</f>
        <v>Mar</v>
      </c>
      <c r="F104" s="12" t="s">
        <v>45</v>
      </c>
      <c r="G104" s="13">
        <v>69216.41</v>
      </c>
      <c r="H104" s="33">
        <v>391</v>
      </c>
      <c r="I104" s="45">
        <f t="shared" si="2"/>
        <v>177.0240664961637</v>
      </c>
      <c r="K104" s="49">
        <f>+K103</f>
        <v>1799.4190000000001</v>
      </c>
      <c r="L104" s="49">
        <f t="shared" si="3"/>
        <v>124549323.26579002</v>
      </c>
    </row>
    <row r="105" spans="2:12">
      <c r="B105" s="2">
        <f>YEAR(EDATE(DATE(2017,10,1),ROWS($A$2:A104)-1))</f>
        <v>2026</v>
      </c>
      <c r="C105" s="2" t="str">
        <f>PROPER(TEXT(EDATE(DATE(2019,10,1),ROWS($B$2:B104)-1),"mmm"))</f>
        <v>Abr</v>
      </c>
      <c r="F105" s="12" t="s">
        <v>45</v>
      </c>
      <c r="G105" s="13">
        <v>163122.07749999998</v>
      </c>
      <c r="H105" s="33">
        <v>662</v>
      </c>
      <c r="I105" s="45">
        <f t="shared" si="2"/>
        <v>246.40797205438065</v>
      </c>
      <c r="K105" s="49">
        <f>+K104</f>
        <v>1799.4190000000001</v>
      </c>
      <c r="L105" s="49">
        <f t="shared" si="3"/>
        <v>293524965.57297248</v>
      </c>
    </row>
    <row r="106" spans="2:12">
      <c r="B106" s="2">
        <f>YEAR(EDATE(DATE(2017,10,1),ROWS($A$2:A105)-1))</f>
        <v>2026</v>
      </c>
      <c r="C106" s="2" t="str">
        <f>PROPER(TEXT(EDATE(DATE(2019,10,1),ROWS($B$2:B105)-1),"mmm"))</f>
        <v>May</v>
      </c>
      <c r="F106" s="12" t="s">
        <v>45</v>
      </c>
      <c r="G106" s="13">
        <v>147090.495</v>
      </c>
      <c r="H106" s="33">
        <v>1824</v>
      </c>
      <c r="I106" s="45">
        <f t="shared" si="2"/>
        <v>80.641718749999995</v>
      </c>
      <c r="K106" s="49">
        <f>+K105</f>
        <v>1799.4190000000001</v>
      </c>
      <c r="L106" s="49">
        <f t="shared" si="3"/>
        <v>264677431.422405</v>
      </c>
    </row>
    <row r="107" spans="2:12">
      <c r="B107" s="2">
        <f>YEAR(EDATE(DATE(2017,10,1),ROWS($A$2:A106)-1))</f>
        <v>2026</v>
      </c>
      <c r="C107" s="2" t="str">
        <f>PROPER(TEXT(EDATE(DATE(2019,10,1),ROWS($B$2:B106)-1),"mmm"))</f>
        <v>Jun</v>
      </c>
      <c r="F107" s="12" t="s">
        <v>45</v>
      </c>
      <c r="G107" s="13">
        <v>138825.54500000001</v>
      </c>
      <c r="H107" s="33">
        <v>2092.6260000000002</v>
      </c>
      <c r="I107" s="45">
        <f t="shared" si="2"/>
        <v>66.340351787658193</v>
      </c>
      <c r="K107" s="49">
        <f>+K106</f>
        <v>1799.4190000000001</v>
      </c>
      <c r="L107" s="49">
        <f t="shared" si="3"/>
        <v>249805323.35835505</v>
      </c>
    </row>
    <row r="108" spans="2:12">
      <c r="B108" s="2"/>
      <c r="C108" s="2"/>
      <c r="F108" s="12"/>
      <c r="G108" s="13"/>
      <c r="K108" s="51"/>
    </row>
    <row r="109" spans="2:12">
      <c r="B109" s="2"/>
      <c r="C109" s="2"/>
      <c r="F109" s="12"/>
      <c r="G109" s="13"/>
    </row>
    <row r="110" spans="2:12">
      <c r="B110" s="2"/>
      <c r="C110" s="2"/>
      <c r="F110" s="12"/>
      <c r="G110" s="13"/>
    </row>
    <row r="111" spans="2:12">
      <c r="B111" s="2"/>
      <c r="C111" s="2"/>
      <c r="F111" s="12"/>
      <c r="G111" s="13"/>
    </row>
    <row r="112" spans="2:12">
      <c r="B112" s="2"/>
      <c r="C112" s="2"/>
      <c r="F112" s="12"/>
      <c r="G112" s="13"/>
    </row>
    <row r="113" spans="2:9">
      <c r="B113" s="2"/>
      <c r="C113" s="2"/>
      <c r="F113" s="12"/>
      <c r="G113" s="13"/>
    </row>
    <row r="114" spans="2:9">
      <c r="B114" s="2"/>
      <c r="C114" s="2"/>
      <c r="F114" s="12"/>
      <c r="G114" s="13"/>
      <c r="I114" s="47"/>
    </row>
    <row r="115" spans="2:9">
      <c r="B115" s="2"/>
      <c r="C115" s="2"/>
      <c r="F115" s="12"/>
      <c r="G115" s="13"/>
    </row>
    <row r="116" spans="2:9">
      <c r="B116" s="2"/>
      <c r="C116" s="2"/>
      <c r="F116" s="12"/>
      <c r="G116" s="13"/>
    </row>
    <row r="117" spans="2:9">
      <c r="B117" s="2"/>
      <c r="C117" s="2"/>
      <c r="F117" s="12"/>
      <c r="G117" s="13"/>
    </row>
    <row r="118" spans="2:9">
      <c r="B118" s="2"/>
      <c r="C118" s="2"/>
      <c r="F118" s="12"/>
      <c r="G118" s="13"/>
    </row>
    <row r="119" spans="2:9">
      <c r="B119" s="2"/>
      <c r="C119" s="2"/>
      <c r="F119" s="12"/>
      <c r="G119" s="13"/>
    </row>
    <row r="120" spans="2:9">
      <c r="B120" s="2"/>
      <c r="C120" s="2"/>
      <c r="F120" s="12"/>
      <c r="G120" s="13"/>
    </row>
    <row r="121" spans="2:9">
      <c r="B121" s="2"/>
      <c r="C121" s="2"/>
      <c r="F121" s="12"/>
      <c r="G121" s="13"/>
      <c r="I121" s="47"/>
    </row>
    <row r="122" spans="2:9">
      <c r="B122" s="2"/>
      <c r="C122" s="2"/>
      <c r="F122" s="12"/>
      <c r="G122" s="13"/>
    </row>
    <row r="123" spans="2:9">
      <c r="B123" s="2"/>
      <c r="C123" s="2"/>
      <c r="F123" s="12"/>
      <c r="G123" s="13"/>
    </row>
    <row r="124" spans="2:9">
      <c r="B124" s="2"/>
      <c r="C124" s="2"/>
      <c r="F124" s="12"/>
      <c r="G124" s="13"/>
    </row>
    <row r="125" spans="2:9">
      <c r="B125" s="2"/>
      <c r="C125" s="2"/>
      <c r="F125" s="12"/>
      <c r="G125" s="13"/>
    </row>
    <row r="126" spans="2:9">
      <c r="B126" s="2"/>
      <c r="C126" s="2"/>
      <c r="F126" s="12"/>
      <c r="G126" s="13"/>
    </row>
    <row r="127" spans="2:9">
      <c r="B127" s="2"/>
      <c r="C127" s="2"/>
      <c r="F127" s="12"/>
      <c r="G127" s="13"/>
    </row>
    <row r="128" spans="2:9">
      <c r="B128" s="2"/>
      <c r="C128" s="2"/>
      <c r="F128" s="12"/>
      <c r="G128" s="13"/>
      <c r="I128" s="47"/>
    </row>
    <row r="129" spans="2:9">
      <c r="B129" s="2"/>
      <c r="C129" s="2"/>
      <c r="F129" s="12"/>
      <c r="G129" s="13"/>
    </row>
    <row r="130" spans="2:9">
      <c r="B130" s="2"/>
      <c r="C130" s="2"/>
      <c r="F130" s="12"/>
      <c r="G130" s="13"/>
    </row>
    <row r="131" spans="2:9">
      <c r="B131" s="2"/>
      <c r="C131" s="2"/>
      <c r="F131" s="12"/>
      <c r="G131" s="13"/>
    </row>
    <row r="132" spans="2:9">
      <c r="B132" s="2"/>
      <c r="C132" s="2"/>
      <c r="F132" s="12"/>
      <c r="G132" s="13"/>
    </row>
    <row r="133" spans="2:9">
      <c r="B133" s="2"/>
      <c r="C133" s="2"/>
      <c r="F133" s="12"/>
      <c r="G133" s="13"/>
    </row>
    <row r="134" spans="2:9">
      <c r="B134" s="2"/>
      <c r="C134" s="2"/>
      <c r="F134" s="12"/>
      <c r="G134" s="13"/>
    </row>
    <row r="135" spans="2:9">
      <c r="B135" s="2"/>
      <c r="C135" s="2"/>
      <c r="F135" s="12"/>
      <c r="G135" s="13"/>
      <c r="I135" s="47"/>
    </row>
    <row r="136" spans="2:9">
      <c r="B136" s="2"/>
      <c r="C136" s="2"/>
      <c r="F136" s="12"/>
      <c r="G136" s="13"/>
    </row>
    <row r="137" spans="2:9">
      <c r="B137" s="2"/>
      <c r="C137" s="2"/>
      <c r="F137" s="12"/>
      <c r="G137" s="13"/>
    </row>
    <row r="138" spans="2:9">
      <c r="B138" s="2"/>
      <c r="C138" s="2"/>
      <c r="F138" s="12"/>
      <c r="G138" s="13"/>
    </row>
    <row r="139" spans="2:9">
      <c r="B139" s="2"/>
      <c r="C139" s="2"/>
      <c r="F139" s="12"/>
      <c r="G139" s="13"/>
    </row>
    <row r="140" spans="2:9">
      <c r="B140" s="2"/>
      <c r="C140" s="2"/>
      <c r="F140" s="12"/>
      <c r="G140" s="13"/>
    </row>
    <row r="141" spans="2:9">
      <c r="B141" s="2"/>
      <c r="C141" s="2"/>
      <c r="F141" s="12"/>
      <c r="G141" s="13"/>
    </row>
    <row r="142" spans="2:9">
      <c r="B142" s="2"/>
      <c r="C142" s="2"/>
      <c r="F142" s="12"/>
      <c r="G142" s="13"/>
      <c r="I142" s="47"/>
    </row>
    <row r="143" spans="2:9">
      <c r="B143" s="2"/>
      <c r="C143" s="2"/>
      <c r="F143" s="12"/>
      <c r="G143" s="13"/>
    </row>
    <row r="144" spans="2:9">
      <c r="B144" s="2"/>
      <c r="C144" s="2"/>
      <c r="F144" s="12"/>
      <c r="G144" s="13"/>
    </row>
    <row r="145" spans="2:9">
      <c r="B145" s="2"/>
      <c r="C145" s="2"/>
      <c r="F145" s="12"/>
      <c r="G145" s="13"/>
    </row>
    <row r="146" spans="2:9">
      <c r="B146" s="2"/>
      <c r="C146" s="2"/>
      <c r="F146" s="12"/>
      <c r="G146" s="13"/>
    </row>
    <row r="147" spans="2:9">
      <c r="B147" s="2"/>
      <c r="C147" s="2"/>
      <c r="F147" s="12"/>
      <c r="G147" s="13"/>
    </row>
    <row r="148" spans="2:9">
      <c r="B148" s="2"/>
      <c r="C148" s="2"/>
      <c r="F148" s="12"/>
      <c r="G148" s="13"/>
    </row>
    <row r="149" spans="2:9">
      <c r="B149" s="2"/>
      <c r="C149" s="2"/>
      <c r="F149" s="12"/>
      <c r="G149" s="13"/>
      <c r="I149" s="47"/>
    </row>
    <row r="150" spans="2:9">
      <c r="B150" s="2"/>
      <c r="C150" s="2"/>
      <c r="F150" s="12"/>
      <c r="G150" s="13"/>
    </row>
    <row r="151" spans="2:9">
      <c r="B151" s="2"/>
      <c r="C151" s="2"/>
      <c r="F151" s="12"/>
      <c r="G151" s="13"/>
    </row>
    <row r="152" spans="2:9">
      <c r="B152" s="2"/>
      <c r="C152" s="2"/>
      <c r="F152" s="12"/>
      <c r="G152" s="13"/>
    </row>
    <row r="153" spans="2:9">
      <c r="B153" s="2"/>
      <c r="C153" s="2"/>
      <c r="F153" s="12"/>
      <c r="G153" s="13"/>
    </row>
    <row r="154" spans="2:9">
      <c r="B154" s="2"/>
      <c r="C154" s="2"/>
      <c r="F154" s="12"/>
      <c r="G154" s="13"/>
    </row>
    <row r="155" spans="2:9">
      <c r="B155" s="2"/>
      <c r="C155" s="2"/>
      <c r="F155" s="12"/>
      <c r="G155" s="13"/>
    </row>
    <row r="156" spans="2:9">
      <c r="B156" s="2"/>
      <c r="C156" s="2"/>
      <c r="F156" s="12"/>
      <c r="G156" s="13"/>
      <c r="I156" s="47"/>
    </row>
    <row r="157" spans="2:9">
      <c r="B157" s="2"/>
      <c r="C157" s="2"/>
      <c r="F157" s="12"/>
      <c r="G157" s="13"/>
    </row>
    <row r="158" spans="2:9">
      <c r="B158" s="2"/>
      <c r="C158" s="2"/>
      <c r="F158" s="12"/>
      <c r="G158" s="13"/>
    </row>
    <row r="159" spans="2:9">
      <c r="B159" s="2"/>
      <c r="C159" s="2"/>
      <c r="F159" s="12"/>
      <c r="G159" s="13"/>
    </row>
    <row r="160" spans="2:9">
      <c r="B160" s="2"/>
      <c r="C160" s="2"/>
      <c r="F160" s="12"/>
      <c r="G160" s="13"/>
    </row>
    <row r="161" spans="2:9">
      <c r="B161" s="2"/>
      <c r="C161" s="2"/>
      <c r="F161" s="12"/>
      <c r="G161" s="13"/>
    </row>
    <row r="162" spans="2:9">
      <c r="B162" s="2"/>
      <c r="C162" s="2"/>
      <c r="F162" s="12"/>
      <c r="G162" s="13"/>
    </row>
    <row r="163" spans="2:9">
      <c r="B163" s="2"/>
      <c r="C163" s="2"/>
      <c r="F163" s="12"/>
      <c r="G163" s="13"/>
      <c r="I163" s="47"/>
    </row>
    <row r="164" spans="2:9">
      <c r="B164" s="2"/>
      <c r="C164" s="2"/>
      <c r="F164" s="12"/>
      <c r="G164" s="13"/>
    </row>
    <row r="165" spans="2:9">
      <c r="B165" s="2"/>
      <c r="C165" s="2"/>
      <c r="F165" s="12"/>
      <c r="G165" s="13"/>
    </row>
    <row r="166" spans="2:9">
      <c r="B166" s="2"/>
      <c r="C166" s="2"/>
      <c r="F166" s="12"/>
      <c r="G166" s="13"/>
    </row>
    <row r="167" spans="2:9">
      <c r="B167" s="2"/>
      <c r="C167" s="2"/>
      <c r="F167" s="12"/>
      <c r="G167" s="13"/>
    </row>
    <row r="168" spans="2:9">
      <c r="B168" s="2"/>
      <c r="C168" s="2"/>
      <c r="F168" s="12"/>
      <c r="G168" s="13"/>
    </row>
    <row r="169" spans="2:9">
      <c r="B169" s="2"/>
      <c r="C169" s="2"/>
      <c r="F169" s="12"/>
      <c r="G169" s="13"/>
    </row>
    <row r="170" spans="2:9">
      <c r="B170" s="2"/>
      <c r="C170" s="2"/>
      <c r="F170" s="12"/>
      <c r="G170" s="13"/>
      <c r="I170" s="47"/>
    </row>
    <row r="171" spans="2:9">
      <c r="B171" s="2"/>
      <c r="C171" s="2"/>
      <c r="F171" s="12"/>
      <c r="G171" s="13"/>
    </row>
    <row r="172" spans="2:9">
      <c r="B172" s="2"/>
      <c r="C172" s="2"/>
      <c r="F172" s="12"/>
      <c r="G172" s="13"/>
    </row>
    <row r="173" spans="2:9">
      <c r="B173" s="2"/>
      <c r="C173" s="2"/>
      <c r="F173" s="12"/>
      <c r="G173" s="13"/>
    </row>
    <row r="174" spans="2:9">
      <c r="B174" s="2"/>
      <c r="C174" s="2"/>
      <c r="F174" s="12"/>
      <c r="G174" s="13"/>
    </row>
    <row r="175" spans="2:9">
      <c r="B175" s="2"/>
      <c r="C175" s="2"/>
      <c r="F175" s="12"/>
      <c r="G175" s="13"/>
    </row>
    <row r="176" spans="2:9">
      <c r="B176" s="2"/>
      <c r="C176" s="2"/>
      <c r="F176" s="12"/>
      <c r="G176" s="13"/>
    </row>
    <row r="177" spans="2:9">
      <c r="B177" s="2"/>
      <c r="C177" s="2"/>
      <c r="F177" s="12"/>
      <c r="G177" s="13"/>
      <c r="I177" s="47"/>
    </row>
    <row r="178" spans="2:9">
      <c r="B178" s="2"/>
      <c r="C178" s="2"/>
      <c r="F178" s="12"/>
      <c r="G178" s="13"/>
    </row>
    <row r="179" spans="2:9">
      <c r="B179" s="2"/>
      <c r="C179" s="2"/>
      <c r="F179" s="12"/>
      <c r="G179" s="13"/>
    </row>
    <row r="180" spans="2:9">
      <c r="B180" s="2"/>
      <c r="C180" s="2"/>
      <c r="F180" s="12"/>
      <c r="G180" s="13"/>
    </row>
    <row r="181" spans="2:9">
      <c r="B181" s="2"/>
      <c r="C181" s="2"/>
      <c r="F181" s="12"/>
      <c r="G181" s="13"/>
    </row>
    <row r="182" spans="2:9">
      <c r="B182" s="2"/>
      <c r="C182" s="2"/>
      <c r="F182" s="12"/>
      <c r="G182" s="13"/>
    </row>
    <row r="183" spans="2:9">
      <c r="B183" s="2"/>
      <c r="C183" s="2"/>
      <c r="F183" s="12"/>
      <c r="G183" s="13"/>
    </row>
    <row r="184" spans="2:9">
      <c r="B184" s="2"/>
      <c r="C184" s="2"/>
      <c r="F184" s="12"/>
      <c r="G184" s="13"/>
      <c r="I184" s="47"/>
    </row>
    <row r="185" spans="2:9">
      <c r="B185" s="2"/>
      <c r="C185" s="2"/>
      <c r="F185" s="12"/>
      <c r="G185" s="13"/>
    </row>
    <row r="186" spans="2:9">
      <c r="B186" s="2"/>
      <c r="C186" s="2"/>
      <c r="F186" s="12"/>
      <c r="G186" s="13"/>
    </row>
    <row r="187" spans="2:9">
      <c r="B187" s="2"/>
      <c r="C187" s="2"/>
      <c r="F187" s="12"/>
      <c r="G187" s="13"/>
    </row>
    <row r="188" spans="2:9">
      <c r="B188" s="2"/>
      <c r="C188" s="2"/>
      <c r="F188" s="12"/>
      <c r="G188" s="13"/>
    </row>
    <row r="189" spans="2:9">
      <c r="B189" s="2"/>
      <c r="C189" s="2"/>
      <c r="F189" s="12"/>
      <c r="G189" s="13"/>
    </row>
    <row r="190" spans="2:9">
      <c r="B190" s="2"/>
      <c r="C190" s="2"/>
      <c r="F190" s="12"/>
      <c r="G190" s="13"/>
    </row>
    <row r="191" spans="2:9">
      <c r="B191" s="2"/>
      <c r="C191" s="2"/>
      <c r="F191" s="12"/>
      <c r="G191" s="13"/>
      <c r="I191" s="47"/>
    </row>
    <row r="192" spans="2:9">
      <c r="B192" s="2"/>
      <c r="C192" s="2"/>
      <c r="F192" s="12"/>
      <c r="G192" s="13"/>
    </row>
    <row r="193" spans="2:9">
      <c r="B193" s="2"/>
      <c r="C193" s="2"/>
      <c r="F193" s="12"/>
      <c r="G193" s="13"/>
    </row>
    <row r="194" spans="2:9">
      <c r="B194" s="2"/>
      <c r="C194" s="2"/>
      <c r="F194" s="12"/>
      <c r="G194" s="13"/>
    </row>
    <row r="195" spans="2:9">
      <c r="B195" s="2"/>
      <c r="C195" s="2"/>
      <c r="F195" s="12"/>
      <c r="G195" s="13"/>
    </row>
    <row r="196" spans="2:9">
      <c r="B196" s="2"/>
      <c r="C196" s="2"/>
      <c r="F196" s="12"/>
      <c r="G196" s="13"/>
    </row>
    <row r="197" spans="2:9">
      <c r="B197" s="2"/>
      <c r="C197" s="2"/>
      <c r="F197" s="12"/>
      <c r="G197" s="13"/>
    </row>
    <row r="198" spans="2:9">
      <c r="B198" s="2"/>
      <c r="C198" s="2"/>
      <c r="F198" s="12"/>
      <c r="G198" s="13"/>
      <c r="I198" s="47"/>
    </row>
    <row r="199" spans="2:9">
      <c r="B199" s="2"/>
      <c r="C199" s="2"/>
      <c r="F199" s="12"/>
      <c r="G199" s="13"/>
    </row>
    <row r="200" spans="2:9">
      <c r="B200" s="2"/>
      <c r="C200" s="2"/>
      <c r="F200" s="12"/>
      <c r="G200" s="13"/>
    </row>
    <row r="201" spans="2:9">
      <c r="B201" s="2"/>
      <c r="C201" s="2"/>
      <c r="F201" s="12"/>
      <c r="G201" s="13"/>
    </row>
    <row r="202" spans="2:9">
      <c r="B202" s="2"/>
      <c r="C202" s="2"/>
      <c r="F202" s="12"/>
      <c r="G202" s="13"/>
    </row>
    <row r="203" spans="2:9">
      <c r="B203" s="2"/>
      <c r="C203" s="2"/>
      <c r="F203" s="12"/>
      <c r="G203" s="13"/>
    </row>
    <row r="204" spans="2:9">
      <c r="B204" s="2"/>
      <c r="C204" s="2"/>
      <c r="F204" s="12"/>
      <c r="G204" s="13"/>
    </row>
    <row r="205" spans="2:9">
      <c r="B205" s="2"/>
      <c r="C205" s="2"/>
      <c r="F205" s="12"/>
      <c r="G205" s="13"/>
      <c r="I205" s="47"/>
    </row>
    <row r="206" spans="2:9">
      <c r="B206" s="2"/>
      <c r="C206" s="2"/>
      <c r="F206" s="12"/>
      <c r="G206" s="13"/>
    </row>
    <row r="207" spans="2:9">
      <c r="B207" s="2"/>
      <c r="C207" s="2"/>
      <c r="F207" s="12"/>
      <c r="G207" s="13"/>
    </row>
    <row r="208" spans="2:9">
      <c r="B208" s="2"/>
      <c r="C208" s="2"/>
      <c r="F208" s="12"/>
      <c r="G208" s="13"/>
    </row>
    <row r="209" spans="2:9">
      <c r="B209" s="2"/>
      <c r="C209" s="2"/>
      <c r="F209" s="12"/>
      <c r="G209" s="13"/>
    </row>
    <row r="210" spans="2:9">
      <c r="B210" s="2"/>
      <c r="C210" s="2"/>
      <c r="F210" s="12"/>
      <c r="G210" s="13"/>
    </row>
    <row r="211" spans="2:9">
      <c r="B211" s="2"/>
      <c r="C211" s="2"/>
      <c r="F211" s="12"/>
      <c r="G211" s="13"/>
    </row>
    <row r="212" spans="2:9">
      <c r="B212" s="2"/>
      <c r="C212" s="2"/>
      <c r="F212" s="12"/>
      <c r="G212" s="13"/>
      <c r="I212" s="47"/>
    </row>
    <row r="213" spans="2:9">
      <c r="B213" s="2"/>
      <c r="C213" s="2"/>
      <c r="F213" s="12"/>
      <c r="G213" s="13"/>
    </row>
    <row r="214" spans="2:9">
      <c r="B214" s="2"/>
      <c r="C214" s="2"/>
      <c r="F214" s="12"/>
      <c r="G214" s="13"/>
    </row>
    <row r="215" spans="2:9">
      <c r="B215" s="2"/>
      <c r="C215" s="2"/>
      <c r="F215" s="12"/>
      <c r="G215" s="13"/>
    </row>
    <row r="216" spans="2:9">
      <c r="B216" s="2"/>
      <c r="C216" s="2"/>
      <c r="F216" s="12"/>
      <c r="G216" s="13"/>
    </row>
    <row r="217" spans="2:9">
      <c r="B217" s="2"/>
      <c r="C217" s="2"/>
      <c r="F217" s="12"/>
      <c r="G217" s="13"/>
    </row>
    <row r="218" spans="2:9">
      <c r="B218" s="2"/>
      <c r="C218" s="2"/>
      <c r="F218" s="12"/>
      <c r="G218" s="13"/>
    </row>
    <row r="219" spans="2:9">
      <c r="B219" s="2"/>
      <c r="C219" s="2"/>
      <c r="F219" s="12"/>
      <c r="G219" s="13"/>
      <c r="I219" s="47"/>
    </row>
    <row r="220" spans="2:9">
      <c r="B220" s="2"/>
      <c r="C220" s="2"/>
      <c r="F220" s="12"/>
      <c r="G220" s="13"/>
    </row>
    <row r="221" spans="2:9">
      <c r="B221" s="2"/>
      <c r="C221" s="2"/>
      <c r="F221" s="12"/>
      <c r="G221" s="13"/>
    </row>
    <row r="222" spans="2:9">
      <c r="B222" s="2"/>
      <c r="C222" s="2"/>
      <c r="F222" s="12"/>
      <c r="G222" s="13"/>
    </row>
    <row r="223" spans="2:9">
      <c r="B223" s="2"/>
      <c r="C223" s="2"/>
      <c r="F223" s="12"/>
      <c r="G223" s="13"/>
    </row>
    <row r="224" spans="2:9">
      <c r="B224" s="2"/>
      <c r="C224" s="2"/>
      <c r="F224" s="12"/>
      <c r="G224" s="13"/>
    </row>
    <row r="225" spans="2:9">
      <c r="B225" s="2"/>
      <c r="C225" s="2"/>
      <c r="F225" s="12"/>
      <c r="G225" s="13"/>
    </row>
    <row r="226" spans="2:9">
      <c r="B226" s="2"/>
      <c r="C226" s="2"/>
      <c r="F226" s="12"/>
      <c r="G226" s="13"/>
      <c r="I226" s="47"/>
    </row>
    <row r="227" spans="2:9">
      <c r="B227" s="2"/>
      <c r="C227" s="2"/>
      <c r="F227" s="12"/>
      <c r="G227" s="13"/>
    </row>
    <row r="228" spans="2:9">
      <c r="B228" s="2"/>
      <c r="C228" s="2"/>
      <c r="F228" s="12"/>
      <c r="G228" s="13"/>
    </row>
    <row r="229" spans="2:9">
      <c r="B229" s="2"/>
      <c r="C229" s="2"/>
      <c r="F229" s="12"/>
      <c r="G229" s="13"/>
    </row>
    <row r="230" spans="2:9">
      <c r="B230" s="2"/>
      <c r="C230" s="2"/>
      <c r="F230" s="12"/>
      <c r="G230" s="13"/>
    </row>
    <row r="231" spans="2:9">
      <c r="B231" s="2"/>
      <c r="C231" s="2"/>
      <c r="F231" s="12"/>
      <c r="G231" s="13"/>
    </row>
    <row r="232" spans="2:9">
      <c r="B232" s="2"/>
      <c r="C232" s="2"/>
      <c r="F232" s="12"/>
      <c r="G232" s="13"/>
    </row>
    <row r="233" spans="2:9">
      <c r="B233" s="2"/>
      <c r="C233" s="2"/>
      <c r="F233" s="12"/>
      <c r="G233" s="13"/>
      <c r="I233" s="47"/>
    </row>
    <row r="234" spans="2:9">
      <c r="B234" s="2"/>
      <c r="C234" s="2"/>
      <c r="F234" s="12"/>
      <c r="G234" s="13"/>
    </row>
    <row r="235" spans="2:9">
      <c r="B235" s="2"/>
      <c r="C235" s="2"/>
      <c r="F235" s="12"/>
      <c r="G235" s="13"/>
    </row>
    <row r="236" spans="2:9">
      <c r="B236" s="2"/>
      <c r="C236" s="2"/>
      <c r="F236" s="12"/>
      <c r="G236" s="13"/>
    </row>
    <row r="237" spans="2:9">
      <c r="B237" s="2"/>
      <c r="C237" s="2"/>
      <c r="F237" s="12"/>
      <c r="G237" s="13"/>
    </row>
    <row r="238" spans="2:9">
      <c r="B238" s="2"/>
      <c r="C238" s="2"/>
      <c r="F238" s="12"/>
      <c r="G238" s="13"/>
    </row>
    <row r="239" spans="2:9">
      <c r="B239" s="2"/>
      <c r="C239" s="2"/>
      <c r="F239" s="12"/>
      <c r="G239" s="13"/>
    </row>
    <row r="240" spans="2:9">
      <c r="B240" s="2"/>
      <c r="C240" s="2"/>
      <c r="F240" s="12"/>
      <c r="G240" s="13"/>
      <c r="I240" s="47"/>
    </row>
    <row r="241" spans="2:9">
      <c r="B241" s="2"/>
      <c r="C241" s="2"/>
      <c r="F241" s="12"/>
      <c r="G241" s="13"/>
    </row>
    <row r="242" spans="2:9">
      <c r="B242" s="2"/>
      <c r="C242" s="2"/>
      <c r="F242" s="12"/>
      <c r="G242" s="13"/>
    </row>
    <row r="243" spans="2:9">
      <c r="B243" s="2"/>
      <c r="C243" s="2"/>
      <c r="F243" s="12"/>
      <c r="G243" s="13"/>
    </row>
    <row r="244" spans="2:9">
      <c r="B244" s="2"/>
      <c r="C244" s="2"/>
      <c r="F244" s="12"/>
      <c r="G244" s="13"/>
    </row>
    <row r="245" spans="2:9">
      <c r="B245" s="2"/>
      <c r="C245" s="2"/>
      <c r="F245" s="12"/>
      <c r="G245" s="13"/>
    </row>
    <row r="246" spans="2:9">
      <c r="B246" s="2"/>
      <c r="C246" s="2"/>
      <c r="F246" s="12"/>
      <c r="G246" s="13"/>
    </row>
    <row r="247" spans="2:9">
      <c r="B247" s="2"/>
      <c r="C247" s="2"/>
      <c r="F247" s="12"/>
      <c r="G247" s="13"/>
      <c r="I247" s="47"/>
    </row>
    <row r="248" spans="2:9">
      <c r="B248" s="2"/>
      <c r="C248" s="2"/>
      <c r="F248" s="12"/>
      <c r="G248" s="13"/>
    </row>
    <row r="249" spans="2:9">
      <c r="B249" s="2"/>
      <c r="C249" s="2"/>
      <c r="F249" s="12"/>
      <c r="G249" s="13"/>
    </row>
    <row r="250" spans="2:9">
      <c r="B250" s="2"/>
      <c r="C250" s="2"/>
      <c r="F250" s="12"/>
      <c r="G250" s="13"/>
    </row>
    <row r="251" spans="2:9">
      <c r="B251" s="2"/>
      <c r="C251" s="2"/>
      <c r="F251" s="12"/>
      <c r="G251" s="13"/>
    </row>
    <row r="252" spans="2:9">
      <c r="B252" s="2"/>
      <c r="C252" s="2"/>
      <c r="F252" s="12"/>
      <c r="G252" s="13"/>
    </row>
    <row r="253" spans="2:9">
      <c r="B253" s="2"/>
      <c r="C253" s="2"/>
      <c r="F253" s="12"/>
      <c r="G253" s="13"/>
    </row>
    <row r="254" spans="2:9">
      <c r="B254" s="2"/>
      <c r="C254" s="2"/>
      <c r="F254" s="12"/>
      <c r="G254" s="13"/>
      <c r="I254" s="47"/>
    </row>
    <row r="255" spans="2:9">
      <c r="B255" s="2"/>
      <c r="C255" s="2"/>
      <c r="F255" s="12"/>
      <c r="G255" s="13"/>
    </row>
    <row r="256" spans="2:9">
      <c r="B256" s="2"/>
      <c r="C256" s="2"/>
      <c r="F256" s="12"/>
      <c r="G256" s="13"/>
    </row>
    <row r="257" spans="2:9">
      <c r="B257" s="2"/>
      <c r="C257" s="2"/>
      <c r="F257" s="12"/>
      <c r="G257" s="13"/>
    </row>
    <row r="258" spans="2:9">
      <c r="B258" s="2"/>
      <c r="C258" s="2"/>
      <c r="F258" s="12"/>
      <c r="G258" s="13"/>
    </row>
    <row r="259" spans="2:9">
      <c r="B259" s="2"/>
      <c r="C259" s="2"/>
      <c r="F259" s="12"/>
      <c r="G259" s="13"/>
    </row>
    <row r="260" spans="2:9">
      <c r="B260" s="2"/>
      <c r="C260" s="2"/>
      <c r="F260" s="12"/>
      <c r="G260" s="13"/>
    </row>
    <row r="261" spans="2:9">
      <c r="B261" s="2"/>
      <c r="C261" s="2"/>
      <c r="F261" s="12"/>
      <c r="G261" s="13"/>
      <c r="I261" s="47"/>
    </row>
    <row r="262" spans="2:9">
      <c r="B262" s="2"/>
      <c r="C262" s="2"/>
      <c r="F262" s="12"/>
      <c r="G262" s="13"/>
    </row>
    <row r="263" spans="2:9">
      <c r="B263" s="2"/>
      <c r="C263" s="2"/>
      <c r="F263" s="12"/>
      <c r="G263" s="13"/>
    </row>
    <row r="264" spans="2:9">
      <c r="B264" s="2"/>
      <c r="C264" s="2"/>
      <c r="F264" s="12"/>
      <c r="G264" s="13"/>
    </row>
    <row r="265" spans="2:9">
      <c r="B265" s="2"/>
      <c r="C265" s="2"/>
      <c r="F265" s="12"/>
      <c r="G265" s="13"/>
    </row>
    <row r="266" spans="2:9">
      <c r="B266" s="2"/>
      <c r="C266" s="2"/>
      <c r="F266" s="12"/>
      <c r="G266" s="13"/>
    </row>
    <row r="267" spans="2:9">
      <c r="B267" s="2"/>
      <c r="C267" s="2"/>
      <c r="F267" s="12"/>
      <c r="G267" s="13"/>
    </row>
    <row r="268" spans="2:9">
      <c r="B268" s="2"/>
      <c r="C268" s="2"/>
      <c r="F268" s="12"/>
      <c r="G268" s="13"/>
      <c r="I268" s="47"/>
    </row>
    <row r="269" spans="2:9">
      <c r="B269" s="2"/>
      <c r="C269" s="2"/>
      <c r="F269" s="12"/>
      <c r="G269" s="13"/>
    </row>
    <row r="270" spans="2:9">
      <c r="B270" s="2"/>
      <c r="C270" s="2"/>
      <c r="F270" s="12"/>
      <c r="G270" s="13"/>
    </row>
    <row r="271" spans="2:9">
      <c r="B271" s="2"/>
      <c r="C271" s="2"/>
      <c r="F271" s="12"/>
      <c r="G271" s="13"/>
    </row>
    <row r="272" spans="2:9">
      <c r="B272" s="2"/>
      <c r="C272" s="2"/>
      <c r="F272" s="12"/>
      <c r="G272" s="13"/>
    </row>
    <row r="273" spans="2:9">
      <c r="B273" s="2"/>
      <c r="C273" s="2"/>
      <c r="F273" s="12"/>
      <c r="G273" s="13"/>
    </row>
    <row r="274" spans="2:9">
      <c r="B274" s="2"/>
      <c r="C274" s="2"/>
      <c r="F274" s="12"/>
      <c r="G274" s="13"/>
    </row>
    <row r="275" spans="2:9">
      <c r="B275" s="2"/>
      <c r="C275" s="2"/>
      <c r="F275" s="12"/>
      <c r="G275" s="13"/>
      <c r="I275" s="47"/>
    </row>
    <row r="276" spans="2:9">
      <c r="B276" s="2"/>
      <c r="C276" s="2"/>
      <c r="F276" s="12"/>
      <c r="G276" s="13"/>
    </row>
    <row r="277" spans="2:9">
      <c r="B277" s="2"/>
      <c r="C277" s="2"/>
      <c r="F277" s="12"/>
      <c r="G277" s="13"/>
    </row>
    <row r="278" spans="2:9">
      <c r="B278" s="2"/>
      <c r="C278" s="2"/>
      <c r="F278" s="12"/>
      <c r="G278" s="13"/>
    </row>
    <row r="279" spans="2:9">
      <c r="B279" s="2"/>
      <c r="C279" s="2"/>
      <c r="F279" s="12"/>
      <c r="G279" s="13"/>
    </row>
    <row r="280" spans="2:9">
      <c r="B280" s="2"/>
      <c r="C280" s="2"/>
      <c r="F280" s="12"/>
      <c r="G280" s="13"/>
    </row>
    <row r="281" spans="2:9">
      <c r="B281" s="2"/>
      <c r="C281" s="2"/>
      <c r="F281" s="12"/>
      <c r="G281" s="13"/>
    </row>
    <row r="282" spans="2:9">
      <c r="B282" s="2"/>
      <c r="C282" s="2"/>
      <c r="F282" s="12"/>
      <c r="G282" s="13"/>
      <c r="I282" s="47"/>
    </row>
    <row r="283" spans="2:9">
      <c r="B283" s="2"/>
      <c r="C283" s="2"/>
      <c r="F283" s="12"/>
      <c r="G283" s="13"/>
    </row>
    <row r="284" spans="2:9">
      <c r="B284" s="2"/>
      <c r="C284" s="2"/>
      <c r="F284" s="12"/>
      <c r="G284" s="13"/>
    </row>
    <row r="285" spans="2:9">
      <c r="B285" s="2"/>
      <c r="C285" s="2"/>
      <c r="F285" s="12"/>
      <c r="G285" s="13"/>
    </row>
    <row r="286" spans="2:9">
      <c r="B286" s="2"/>
      <c r="C286" s="2"/>
      <c r="F286" s="12"/>
      <c r="G286" s="13"/>
    </row>
    <row r="287" spans="2:9">
      <c r="B287" s="2"/>
      <c r="C287" s="2"/>
      <c r="F287" s="12"/>
      <c r="G287" s="13"/>
    </row>
    <row r="288" spans="2:9">
      <c r="B288" s="2"/>
      <c r="C288" s="2"/>
      <c r="F288" s="12"/>
      <c r="G288" s="13"/>
    </row>
    <row r="289" spans="2:9">
      <c r="B289" s="2"/>
      <c r="C289" s="2"/>
      <c r="F289" s="12"/>
      <c r="G289" s="13"/>
      <c r="I289" s="47"/>
    </row>
    <row r="290" spans="2:9">
      <c r="B290" s="2"/>
      <c r="C290" s="2"/>
      <c r="F290" s="12"/>
      <c r="G290" s="13"/>
    </row>
    <row r="291" spans="2:9">
      <c r="B291" s="2"/>
      <c r="C291" s="2"/>
      <c r="F291" s="12"/>
      <c r="G291" s="13"/>
    </row>
    <row r="292" spans="2:9">
      <c r="B292" s="2"/>
      <c r="C292" s="2"/>
      <c r="F292" s="12"/>
      <c r="G292" s="13"/>
    </row>
    <row r="293" spans="2:9">
      <c r="B293" s="2"/>
      <c r="C293" s="2"/>
      <c r="F293" s="12"/>
      <c r="G293" s="13"/>
    </row>
    <row r="294" spans="2:9">
      <c r="B294" s="2"/>
      <c r="C294" s="2"/>
      <c r="F294" s="12"/>
      <c r="G294" s="13"/>
    </row>
    <row r="295" spans="2:9">
      <c r="B295" s="2"/>
      <c r="C295" s="2"/>
      <c r="F295" s="12"/>
      <c r="G295" s="13"/>
    </row>
    <row r="296" spans="2:9">
      <c r="B296" s="2"/>
      <c r="C296" s="2"/>
      <c r="F296" s="12"/>
      <c r="G296" s="13"/>
      <c r="I296" s="47"/>
    </row>
    <row r="297" spans="2:9">
      <c r="B297" s="2"/>
      <c r="C297" s="2"/>
      <c r="F297" s="12"/>
      <c r="G297" s="13"/>
    </row>
    <row r="298" spans="2:9">
      <c r="B298" s="2"/>
      <c r="C298" s="2"/>
      <c r="F298" s="12"/>
      <c r="G298" s="13"/>
    </row>
    <row r="299" spans="2:9">
      <c r="B299" s="2"/>
      <c r="C299" s="2"/>
      <c r="F299" s="12"/>
      <c r="G299" s="13"/>
    </row>
    <row r="300" spans="2:9">
      <c r="B300" s="2"/>
      <c r="C300" s="2"/>
      <c r="F300" s="12"/>
      <c r="G300" s="13"/>
    </row>
    <row r="301" spans="2:9">
      <c r="B301" s="2"/>
      <c r="C301" s="2"/>
      <c r="F301" s="12"/>
      <c r="G301" s="13"/>
    </row>
    <row r="302" spans="2:9">
      <c r="B302" s="2"/>
      <c r="C302" s="2"/>
      <c r="F302" s="12"/>
      <c r="G302" s="13"/>
    </row>
    <row r="303" spans="2:9">
      <c r="B303" s="2"/>
      <c r="C303" s="2"/>
      <c r="F303" s="12"/>
      <c r="G303" s="13"/>
      <c r="I303" s="47"/>
    </row>
    <row r="304" spans="2:9">
      <c r="B304" s="2"/>
      <c r="C304" s="2"/>
      <c r="F304" s="12"/>
      <c r="G304" s="13"/>
    </row>
    <row r="305" spans="2:9">
      <c r="B305" s="2"/>
      <c r="C305" s="2"/>
      <c r="F305" s="12"/>
      <c r="G305" s="13"/>
    </row>
    <row r="306" spans="2:9">
      <c r="B306" s="2"/>
      <c r="C306" s="2"/>
      <c r="F306" s="12"/>
      <c r="G306" s="13"/>
    </row>
    <row r="307" spans="2:9">
      <c r="B307" s="2"/>
      <c r="C307" s="2"/>
      <c r="F307" s="12"/>
      <c r="G307" s="13"/>
    </row>
    <row r="308" spans="2:9">
      <c r="B308" s="2"/>
      <c r="C308" s="2"/>
      <c r="F308" s="12"/>
      <c r="G308" s="13"/>
    </row>
    <row r="309" spans="2:9">
      <c r="B309" s="2"/>
      <c r="C309" s="2"/>
      <c r="F309" s="12"/>
      <c r="G309" s="13"/>
    </row>
    <row r="310" spans="2:9">
      <c r="B310" s="2"/>
      <c r="C310" s="2"/>
      <c r="F310" s="12"/>
      <c r="G310" s="13"/>
      <c r="I310" s="47"/>
    </row>
    <row r="311" spans="2:9">
      <c r="B311" s="2"/>
      <c r="C311" s="2"/>
      <c r="F311" s="12"/>
      <c r="G311" s="13"/>
    </row>
    <row r="312" spans="2:9">
      <c r="B312" s="2"/>
      <c r="C312" s="2"/>
      <c r="F312" s="12"/>
      <c r="G312" s="13"/>
    </row>
    <row r="313" spans="2:9">
      <c r="B313" s="2"/>
      <c r="C313" s="2"/>
      <c r="F313" s="12"/>
      <c r="G313" s="13"/>
    </row>
    <row r="314" spans="2:9">
      <c r="B314" s="2"/>
      <c r="C314" s="2"/>
      <c r="F314" s="12"/>
      <c r="G314" s="13"/>
    </row>
    <row r="315" spans="2:9">
      <c r="B315" s="2"/>
      <c r="C315" s="2"/>
      <c r="F315" s="12"/>
      <c r="G315" s="13"/>
    </row>
    <row r="316" spans="2:9">
      <c r="B316" s="2"/>
      <c r="C316" s="2"/>
      <c r="F316" s="12"/>
      <c r="G316" s="13"/>
    </row>
    <row r="317" spans="2:9">
      <c r="B317" s="2"/>
      <c r="C317" s="2"/>
      <c r="F317" s="12"/>
      <c r="G317" s="13"/>
      <c r="I317" s="47"/>
    </row>
    <row r="318" spans="2:9">
      <c r="B318" s="2"/>
      <c r="C318" s="2"/>
      <c r="F318" s="12"/>
      <c r="G318" s="13"/>
    </row>
    <row r="319" spans="2:9">
      <c r="B319" s="2"/>
      <c r="C319" s="2"/>
      <c r="F319" s="12"/>
      <c r="G319" s="13"/>
    </row>
    <row r="320" spans="2:9">
      <c r="B320" s="2"/>
      <c r="C320" s="2"/>
      <c r="F320" s="12"/>
      <c r="G320" s="13"/>
    </row>
    <row r="321" spans="2:9">
      <c r="B321" s="2"/>
      <c r="C321" s="2"/>
      <c r="F321" s="12"/>
      <c r="G321" s="13"/>
    </row>
    <row r="322" spans="2:9">
      <c r="B322" s="2"/>
      <c r="C322" s="2"/>
      <c r="F322" s="12"/>
      <c r="G322" s="13"/>
    </row>
    <row r="323" spans="2:9">
      <c r="B323" s="2"/>
      <c r="C323" s="2"/>
      <c r="F323" s="12"/>
      <c r="G323" s="13"/>
    </row>
    <row r="324" spans="2:9">
      <c r="B324" s="2"/>
      <c r="C324" s="2"/>
      <c r="F324" s="12"/>
      <c r="G324" s="13"/>
      <c r="I324" s="47"/>
    </row>
    <row r="325" spans="2:9">
      <c r="B325" s="2"/>
      <c r="C325" s="2"/>
      <c r="F325" s="12"/>
      <c r="G325" s="13"/>
    </row>
    <row r="326" spans="2:9">
      <c r="B326" s="2"/>
      <c r="C326" s="2"/>
      <c r="F326" s="12"/>
      <c r="G326" s="13"/>
    </row>
    <row r="327" spans="2:9">
      <c r="B327" s="2"/>
      <c r="C327" s="2"/>
      <c r="F327" s="12"/>
      <c r="G327" s="13"/>
    </row>
    <row r="328" spans="2:9">
      <c r="B328" s="2"/>
      <c r="C328" s="2"/>
      <c r="F328" s="12"/>
      <c r="G328" s="13"/>
    </row>
    <row r="329" spans="2:9">
      <c r="B329" s="2"/>
      <c r="C329" s="2"/>
      <c r="F329" s="12"/>
      <c r="G329" s="13"/>
    </row>
    <row r="330" spans="2:9">
      <c r="B330" s="2"/>
      <c r="C330" s="2"/>
      <c r="F330" s="12"/>
      <c r="G330" s="13"/>
    </row>
    <row r="331" spans="2:9">
      <c r="B331" s="2"/>
      <c r="C331" s="2"/>
      <c r="F331" s="12"/>
      <c r="G331" s="13"/>
      <c r="I331" s="47"/>
    </row>
    <row r="332" spans="2:9">
      <c r="B332" s="2"/>
      <c r="C332" s="2"/>
      <c r="F332" s="12"/>
      <c r="G332" s="13"/>
    </row>
    <row r="333" spans="2:9">
      <c r="B333" s="2"/>
      <c r="C333" s="2"/>
      <c r="F333" s="12"/>
      <c r="G333" s="13"/>
    </row>
    <row r="334" spans="2:9">
      <c r="B334" s="2"/>
      <c r="C334" s="2"/>
      <c r="F334" s="12"/>
      <c r="G334" s="13"/>
    </row>
    <row r="335" spans="2:9">
      <c r="B335" s="2"/>
      <c r="C335" s="2"/>
      <c r="F335" s="12"/>
      <c r="G335" s="13"/>
    </row>
    <row r="336" spans="2:9">
      <c r="B336" s="2"/>
      <c r="C336" s="2"/>
      <c r="F336" s="12"/>
      <c r="G336" s="13"/>
    </row>
    <row r="337" spans="2:9">
      <c r="B337" s="2"/>
      <c r="C337" s="2"/>
      <c r="F337" s="12"/>
      <c r="G337" s="13"/>
    </row>
    <row r="338" spans="2:9">
      <c r="B338" s="2"/>
      <c r="C338" s="2"/>
      <c r="F338" s="12"/>
      <c r="G338" s="13"/>
      <c r="I338" s="47"/>
    </row>
    <row r="339" spans="2:9">
      <c r="B339" s="2"/>
      <c r="C339" s="2"/>
      <c r="F339" s="12"/>
      <c r="G339" s="13"/>
    </row>
    <row r="340" spans="2:9">
      <c r="B340" s="2"/>
      <c r="C340" s="2"/>
      <c r="F340" s="12"/>
      <c r="G340" s="13"/>
    </row>
    <row r="341" spans="2:9">
      <c r="B341" s="2"/>
      <c r="C341" s="2"/>
      <c r="F341" s="12"/>
      <c r="G341" s="13"/>
    </row>
    <row r="342" spans="2:9">
      <c r="B342" s="2"/>
      <c r="C342" s="2"/>
      <c r="F342" s="12"/>
      <c r="G342" s="13"/>
    </row>
    <row r="343" spans="2:9">
      <c r="B343" s="2"/>
      <c r="C343" s="2"/>
      <c r="F343" s="12"/>
      <c r="G343" s="13"/>
    </row>
    <row r="344" spans="2:9">
      <c r="B344" s="2"/>
      <c r="C344" s="2"/>
      <c r="F344" s="12"/>
      <c r="G344" s="13"/>
    </row>
    <row r="345" spans="2:9">
      <c r="B345" s="2"/>
      <c r="C345" s="2"/>
      <c r="F345" s="12"/>
      <c r="G345" s="13"/>
      <c r="I345" s="47"/>
    </row>
    <row r="346" spans="2:9">
      <c r="B346" s="2"/>
      <c r="C346" s="2"/>
      <c r="F346" s="12"/>
      <c r="G346" s="13"/>
    </row>
    <row r="347" spans="2:9">
      <c r="B347" s="2"/>
      <c r="C347" s="2"/>
      <c r="F347" s="12"/>
      <c r="G347" s="13"/>
    </row>
    <row r="348" spans="2:9">
      <c r="B348" s="2"/>
      <c r="C348" s="2"/>
      <c r="F348" s="12"/>
      <c r="G348" s="13"/>
    </row>
    <row r="349" spans="2:9">
      <c r="B349" s="2"/>
      <c r="C349" s="2"/>
      <c r="F349" s="12"/>
      <c r="G349" s="13"/>
    </row>
    <row r="350" spans="2:9">
      <c r="B350" s="2"/>
      <c r="C350" s="2"/>
      <c r="F350" s="12"/>
      <c r="G350" s="13"/>
    </row>
    <row r="351" spans="2:9">
      <c r="B351" s="2"/>
      <c r="C351" s="2"/>
      <c r="F351" s="12"/>
      <c r="G351" s="13"/>
    </row>
    <row r="352" spans="2:9">
      <c r="B352" s="2"/>
      <c r="C352" s="2"/>
      <c r="F352" s="12"/>
      <c r="G352" s="13"/>
      <c r="I352" s="47"/>
    </row>
    <row r="353" spans="2:9">
      <c r="B353" s="2"/>
      <c r="C353" s="2"/>
      <c r="F353" s="12"/>
      <c r="G353" s="13"/>
    </row>
    <row r="354" spans="2:9">
      <c r="B354" s="2"/>
      <c r="C354" s="2"/>
      <c r="F354" s="12"/>
      <c r="G354" s="13"/>
    </row>
    <row r="355" spans="2:9">
      <c r="B355" s="2"/>
      <c r="C355" s="2"/>
      <c r="F355" s="12"/>
      <c r="G355" s="13"/>
    </row>
    <row r="356" spans="2:9">
      <c r="B356" s="2"/>
      <c r="C356" s="2"/>
      <c r="F356" s="12"/>
      <c r="G356" s="13"/>
    </row>
    <row r="357" spans="2:9">
      <c r="B357" s="2"/>
      <c r="C357" s="2"/>
      <c r="F357" s="12"/>
      <c r="G357" s="13"/>
    </row>
    <row r="358" spans="2:9">
      <c r="B358" s="2"/>
      <c r="C358" s="2"/>
      <c r="F358" s="12"/>
      <c r="G358" s="13"/>
    </row>
    <row r="359" spans="2:9">
      <c r="B359" s="2"/>
      <c r="C359" s="2"/>
      <c r="F359" s="12"/>
      <c r="G359" s="13"/>
      <c r="I359" s="47"/>
    </row>
    <row r="360" spans="2:9">
      <c r="B360" s="2"/>
      <c r="C360" s="2"/>
      <c r="F360" s="12"/>
      <c r="G360" s="13"/>
    </row>
    <row r="361" spans="2:9">
      <c r="B361" s="2"/>
      <c r="C361" s="2"/>
      <c r="F361" s="12"/>
      <c r="G361" s="13"/>
    </row>
    <row r="362" spans="2:9">
      <c r="B362" s="2"/>
      <c r="C362" s="2"/>
      <c r="F362" s="12"/>
      <c r="G362" s="13"/>
    </row>
    <row r="363" spans="2:9">
      <c r="B363" s="2"/>
      <c r="C363" s="2"/>
      <c r="F363" s="12"/>
      <c r="G363" s="13"/>
    </row>
    <row r="364" spans="2:9">
      <c r="B364" s="2"/>
      <c r="C364" s="2"/>
      <c r="F364" s="12"/>
      <c r="G364" s="13"/>
    </row>
    <row r="365" spans="2:9">
      <c r="B365" s="2"/>
      <c r="C365" s="2"/>
      <c r="F365" s="12"/>
      <c r="G365" s="13"/>
    </row>
    <row r="366" spans="2:9">
      <c r="B366" s="2"/>
      <c r="C366" s="2"/>
      <c r="F366" s="12"/>
      <c r="G366" s="13"/>
      <c r="I366" s="47"/>
    </row>
    <row r="367" spans="2:9">
      <c r="B367" s="2"/>
      <c r="C367" s="2"/>
      <c r="F367" s="12"/>
      <c r="G367" s="13"/>
    </row>
    <row r="368" spans="2:9">
      <c r="B368" s="2"/>
      <c r="C368" s="2"/>
      <c r="F368" s="12"/>
      <c r="G368" s="13"/>
    </row>
    <row r="369" spans="2:9">
      <c r="B369" s="2"/>
      <c r="C369" s="2"/>
      <c r="F369" s="12"/>
      <c r="G369" s="13"/>
    </row>
    <row r="370" spans="2:9">
      <c r="B370" s="2"/>
      <c r="C370" s="2"/>
      <c r="F370" s="12"/>
      <c r="G370" s="13"/>
    </row>
    <row r="371" spans="2:9">
      <c r="B371" s="2"/>
      <c r="C371" s="2"/>
      <c r="F371" s="12"/>
      <c r="G371" s="13"/>
    </row>
    <row r="372" spans="2:9">
      <c r="B372" s="2"/>
      <c r="C372" s="2"/>
      <c r="F372" s="12"/>
      <c r="G372" s="13"/>
    </row>
    <row r="373" spans="2:9">
      <c r="B373" s="2"/>
      <c r="C373" s="2"/>
      <c r="F373" s="12"/>
      <c r="G373" s="13"/>
      <c r="I373" s="47"/>
    </row>
    <row r="374" spans="2:9">
      <c r="B374" s="2"/>
      <c r="C374" s="2"/>
      <c r="F374" s="12"/>
      <c r="G374" s="13"/>
    </row>
    <row r="375" spans="2:9">
      <c r="B375" s="2"/>
      <c r="C375" s="2"/>
      <c r="F375" s="12"/>
      <c r="G375" s="13"/>
    </row>
    <row r="376" spans="2:9">
      <c r="B376" s="2"/>
      <c r="C376" s="2"/>
      <c r="F376" s="12"/>
      <c r="G376" s="13"/>
    </row>
    <row r="377" spans="2:9">
      <c r="B377" s="2"/>
      <c r="C377" s="2"/>
      <c r="F377" s="12"/>
      <c r="G377" s="13"/>
    </row>
    <row r="378" spans="2:9">
      <c r="B378" s="2"/>
      <c r="C378" s="2"/>
      <c r="F378" s="12"/>
      <c r="G378" s="13"/>
    </row>
    <row r="379" spans="2:9">
      <c r="B379" s="2"/>
      <c r="C379" s="2"/>
      <c r="F379" s="12"/>
      <c r="G379" s="13"/>
    </row>
    <row r="380" spans="2:9">
      <c r="B380" s="2"/>
      <c r="C380" s="2"/>
      <c r="F380" s="12"/>
      <c r="G380" s="13"/>
      <c r="I380" s="47"/>
    </row>
    <row r="381" spans="2:9">
      <c r="B381" s="2"/>
      <c r="C381" s="2"/>
      <c r="F381" s="12"/>
      <c r="G381" s="13"/>
    </row>
    <row r="382" spans="2:9">
      <c r="B382" s="2"/>
      <c r="C382" s="2"/>
      <c r="F382" s="12"/>
      <c r="G382" s="13"/>
    </row>
    <row r="383" spans="2:9">
      <c r="B383" s="2"/>
      <c r="C383" s="2"/>
      <c r="F383" s="12"/>
      <c r="G383" s="13"/>
    </row>
    <row r="384" spans="2:9">
      <c r="B384" s="2"/>
      <c r="C384" s="2"/>
      <c r="F384" s="12"/>
      <c r="G384" s="13"/>
    </row>
    <row r="385" spans="2:9">
      <c r="B385" s="2"/>
      <c r="C385" s="2"/>
      <c r="F385" s="12"/>
      <c r="G385" s="13"/>
    </row>
    <row r="386" spans="2:9">
      <c r="B386" s="2"/>
      <c r="C386" s="2"/>
      <c r="F386" s="12"/>
      <c r="G386" s="13"/>
    </row>
    <row r="387" spans="2:9">
      <c r="B387" s="2"/>
      <c r="C387" s="2"/>
      <c r="F387" s="12"/>
      <c r="G387" s="13"/>
      <c r="I387" s="47"/>
    </row>
    <row r="388" spans="2:9">
      <c r="B388" s="2"/>
      <c r="C388" s="2"/>
      <c r="F388" s="12"/>
      <c r="G388" s="13"/>
    </row>
    <row r="389" spans="2:9">
      <c r="B389" s="2"/>
      <c r="C389" s="2"/>
      <c r="F389" s="12"/>
      <c r="G389" s="13"/>
    </row>
    <row r="390" spans="2:9">
      <c r="B390" s="2"/>
      <c r="C390" s="2"/>
      <c r="F390" s="12"/>
      <c r="G390" s="13"/>
    </row>
    <row r="391" spans="2:9">
      <c r="B391" s="2"/>
      <c r="C391" s="2"/>
      <c r="F391" s="12"/>
      <c r="G391" s="13"/>
    </row>
    <row r="392" spans="2:9">
      <c r="B392" s="2"/>
      <c r="C392" s="2"/>
      <c r="F392" s="12"/>
      <c r="G392" s="13"/>
    </row>
    <row r="393" spans="2:9">
      <c r="B393" s="2"/>
      <c r="C393" s="2"/>
      <c r="F393" s="12"/>
      <c r="G393" s="13"/>
    </row>
    <row r="394" spans="2:9">
      <c r="B394" s="2"/>
      <c r="C394" s="2"/>
      <c r="F394" s="12"/>
      <c r="G394" s="13"/>
      <c r="I394" s="47"/>
    </row>
    <row r="395" spans="2:9">
      <c r="B395" s="2"/>
      <c r="C395" s="2"/>
      <c r="F395" s="12"/>
      <c r="G395" s="13"/>
    </row>
    <row r="396" spans="2:9">
      <c r="B396" s="2"/>
      <c r="C396" s="2"/>
      <c r="F396" s="12"/>
      <c r="G396" s="13"/>
    </row>
    <row r="397" spans="2:9">
      <c r="B397" s="2"/>
      <c r="C397" s="2"/>
      <c r="F397" s="12"/>
      <c r="G397" s="13"/>
    </row>
    <row r="398" spans="2:9">
      <c r="B398" s="2"/>
      <c r="C398" s="2"/>
      <c r="F398" s="12"/>
      <c r="G398" s="13"/>
    </row>
    <row r="399" spans="2:9">
      <c r="B399" s="2"/>
      <c r="C399" s="2"/>
      <c r="F399" s="12"/>
      <c r="G399" s="13"/>
    </row>
    <row r="400" spans="2:9">
      <c r="B400" s="2"/>
      <c r="C400" s="2"/>
      <c r="F400" s="12"/>
      <c r="G400" s="13"/>
    </row>
    <row r="401" spans="2:9">
      <c r="B401" s="2"/>
      <c r="C401" s="2"/>
      <c r="F401" s="12"/>
      <c r="G401" s="13"/>
      <c r="I401" s="47"/>
    </row>
    <row r="402" spans="2:9">
      <c r="B402" s="2"/>
      <c r="C402" s="2"/>
      <c r="F402" s="12"/>
      <c r="G402" s="13"/>
    </row>
    <row r="403" spans="2:9">
      <c r="B403" s="2"/>
      <c r="C403" s="2"/>
      <c r="F403" s="12"/>
      <c r="G403" s="13"/>
    </row>
    <row r="404" spans="2:9">
      <c r="B404" s="2"/>
      <c r="C404" s="2"/>
      <c r="F404" s="12"/>
      <c r="G404" s="13"/>
    </row>
    <row r="405" spans="2:9">
      <c r="B405" s="2"/>
      <c r="C405" s="2"/>
      <c r="F405" s="12"/>
      <c r="G405" s="13"/>
    </row>
    <row r="406" spans="2:9">
      <c r="B406" s="2"/>
      <c r="C406" s="2"/>
      <c r="F406" s="12"/>
      <c r="G406" s="13"/>
    </row>
    <row r="407" spans="2:9">
      <c r="B407" s="2"/>
      <c r="C407" s="2"/>
      <c r="F407" s="12"/>
      <c r="G407" s="13"/>
    </row>
    <row r="408" spans="2:9">
      <c r="B408" s="2"/>
      <c r="C408" s="2"/>
      <c r="F408" s="12"/>
      <c r="G408" s="13"/>
      <c r="I408" s="47"/>
    </row>
    <row r="409" spans="2:9">
      <c r="B409" s="2"/>
      <c r="C409" s="2"/>
      <c r="F409" s="12"/>
      <c r="G409" s="13"/>
    </row>
    <row r="410" spans="2:9">
      <c r="B410" s="2"/>
      <c r="C410" s="2"/>
      <c r="F410" s="12"/>
      <c r="G410" s="13"/>
    </row>
    <row r="411" spans="2:9">
      <c r="B411" s="2"/>
      <c r="C411" s="2"/>
      <c r="F411" s="12"/>
      <c r="G411" s="13"/>
    </row>
    <row r="412" spans="2:9">
      <c r="B412" s="2"/>
      <c r="C412" s="2"/>
      <c r="F412" s="12"/>
      <c r="G412" s="13"/>
    </row>
    <row r="413" spans="2:9">
      <c r="B413" s="2"/>
      <c r="C413" s="2"/>
      <c r="F413" s="12"/>
      <c r="G413" s="13"/>
    </row>
    <row r="414" spans="2:9">
      <c r="B414" s="2"/>
      <c r="C414" s="2"/>
      <c r="F414" s="12"/>
      <c r="G414" s="13"/>
    </row>
    <row r="415" spans="2:9">
      <c r="B415" s="2"/>
      <c r="C415" s="2"/>
      <c r="F415" s="12"/>
      <c r="G415" s="13"/>
      <c r="I415" s="47"/>
    </row>
    <row r="416" spans="2:9">
      <c r="B416" s="2"/>
      <c r="C416" s="2"/>
      <c r="F416" s="12"/>
      <c r="G416" s="13"/>
    </row>
    <row r="417" spans="2:9">
      <c r="B417" s="2"/>
      <c r="C417" s="2"/>
      <c r="F417" s="12"/>
      <c r="G417" s="13"/>
    </row>
    <row r="418" spans="2:9">
      <c r="B418" s="2"/>
      <c r="C418" s="2"/>
      <c r="F418" s="12"/>
      <c r="G418" s="13"/>
    </row>
    <row r="419" spans="2:9">
      <c r="B419" s="2"/>
      <c r="C419" s="2"/>
      <c r="F419" s="12"/>
      <c r="G419" s="13"/>
    </row>
    <row r="420" spans="2:9">
      <c r="B420" s="2"/>
      <c r="C420" s="2"/>
      <c r="F420" s="12"/>
      <c r="G420" s="13"/>
    </row>
    <row r="421" spans="2:9">
      <c r="B421" s="2"/>
      <c r="C421" s="2"/>
      <c r="F421" s="12"/>
      <c r="G421" s="13"/>
    </row>
    <row r="422" spans="2:9">
      <c r="B422" s="2"/>
      <c r="C422" s="2"/>
      <c r="F422" s="12"/>
      <c r="G422" s="13"/>
      <c r="I422" s="47"/>
    </row>
    <row r="423" spans="2:9">
      <c r="B423" s="2"/>
      <c r="C423" s="2"/>
      <c r="F423" s="12"/>
      <c r="G423" s="13"/>
    </row>
    <row r="424" spans="2:9">
      <c r="B424" s="2"/>
      <c r="C424" s="2"/>
      <c r="F424" s="12"/>
      <c r="G424" s="13"/>
    </row>
    <row r="425" spans="2:9">
      <c r="B425" s="2"/>
      <c r="C425" s="2"/>
      <c r="F425" s="12"/>
      <c r="G425" s="13"/>
    </row>
    <row r="426" spans="2:9">
      <c r="B426" s="2"/>
      <c r="C426" s="2"/>
      <c r="F426" s="12"/>
      <c r="G426" s="13"/>
    </row>
    <row r="427" spans="2:9">
      <c r="B427" s="2"/>
      <c r="C427" s="2"/>
      <c r="F427" s="12"/>
      <c r="G427" s="13"/>
    </row>
    <row r="428" spans="2:9">
      <c r="B428" s="2"/>
      <c r="C428" s="2"/>
      <c r="F428" s="12"/>
      <c r="G428" s="13"/>
    </row>
    <row r="429" spans="2:9">
      <c r="B429" s="2"/>
      <c r="C429" s="2"/>
      <c r="F429" s="12"/>
      <c r="G429" s="13"/>
      <c r="I429" s="47"/>
    </row>
    <row r="430" spans="2:9">
      <c r="B430" s="2"/>
      <c r="C430" s="2"/>
      <c r="F430" s="12"/>
      <c r="G430" s="13"/>
    </row>
    <row r="431" spans="2:9">
      <c r="B431" s="2"/>
      <c r="C431" s="2"/>
      <c r="F431" s="12"/>
      <c r="G431" s="13"/>
    </row>
    <row r="432" spans="2:9">
      <c r="B432" s="2"/>
      <c r="C432" s="2"/>
      <c r="F432" s="12"/>
      <c r="G432" s="13"/>
    </row>
    <row r="433" spans="2:9">
      <c r="B433" s="2"/>
      <c r="C433" s="2"/>
      <c r="F433" s="12"/>
      <c r="G433" s="13"/>
    </row>
    <row r="434" spans="2:9">
      <c r="B434" s="2"/>
      <c r="C434" s="2"/>
      <c r="F434" s="12"/>
      <c r="G434" s="13"/>
    </row>
    <row r="435" spans="2:9">
      <c r="B435" s="2"/>
      <c r="C435" s="2"/>
      <c r="F435" s="12"/>
      <c r="G435" s="13"/>
    </row>
    <row r="436" spans="2:9">
      <c r="B436" s="2"/>
      <c r="C436" s="2"/>
      <c r="F436" s="12"/>
      <c r="G436" s="13"/>
      <c r="I436" s="47"/>
    </row>
    <row r="437" spans="2:9">
      <c r="B437" s="2"/>
      <c r="C437" s="2"/>
      <c r="F437" s="12"/>
      <c r="G437" s="13"/>
    </row>
    <row r="438" spans="2:9">
      <c r="B438" s="2"/>
      <c r="C438" s="2"/>
      <c r="F438" s="12"/>
      <c r="G438" s="13"/>
    </row>
    <row r="439" spans="2:9">
      <c r="B439" s="2"/>
      <c r="C439" s="2"/>
      <c r="F439" s="12"/>
      <c r="G439" s="13"/>
    </row>
    <row r="440" spans="2:9">
      <c r="B440" s="2"/>
      <c r="C440" s="2"/>
      <c r="F440" s="12"/>
      <c r="G440" s="13"/>
    </row>
    <row r="441" spans="2:9">
      <c r="B441" s="2"/>
      <c r="C441" s="2"/>
      <c r="F441" s="12"/>
      <c r="G441" s="13"/>
    </row>
    <row r="442" spans="2:9">
      <c r="B442" s="2"/>
      <c r="C442" s="2"/>
      <c r="F442" s="12"/>
      <c r="G442" s="13"/>
    </row>
    <row r="443" spans="2:9">
      <c r="B443" s="2"/>
      <c r="C443" s="2"/>
      <c r="F443" s="12"/>
      <c r="G443" s="13"/>
      <c r="I443" s="47"/>
    </row>
    <row r="444" spans="2:9">
      <c r="B444" s="2"/>
      <c r="C444" s="2"/>
      <c r="F444" s="12"/>
      <c r="G444" s="13"/>
    </row>
    <row r="445" spans="2:9">
      <c r="B445" s="2"/>
      <c r="C445" s="2"/>
      <c r="F445" s="12"/>
      <c r="G445" s="13"/>
    </row>
    <row r="446" spans="2:9">
      <c r="B446" s="2"/>
      <c r="C446" s="2"/>
      <c r="F446" s="12"/>
      <c r="G446" s="13"/>
    </row>
    <row r="447" spans="2:9">
      <c r="B447" s="2"/>
      <c r="C447" s="2"/>
      <c r="F447" s="12"/>
      <c r="G447" s="13"/>
    </row>
    <row r="448" spans="2:9">
      <c r="B448" s="2"/>
      <c r="C448" s="2"/>
      <c r="F448" s="12"/>
      <c r="G448" s="13"/>
    </row>
    <row r="449" spans="2:9">
      <c r="B449" s="2"/>
      <c r="C449" s="2"/>
      <c r="F449" s="12"/>
      <c r="G449" s="13"/>
    </row>
    <row r="450" spans="2:9">
      <c r="B450" s="2"/>
      <c r="C450" s="2"/>
      <c r="F450" s="12"/>
      <c r="G450" s="13"/>
      <c r="I450" s="47"/>
    </row>
    <row r="451" spans="2:9">
      <c r="B451" s="2"/>
      <c r="C451" s="2"/>
      <c r="F451" s="12"/>
      <c r="G451" s="13"/>
    </row>
    <row r="452" spans="2:9">
      <c r="B452" s="2"/>
      <c r="C452" s="2"/>
      <c r="F452" s="12"/>
      <c r="G452" s="13"/>
    </row>
    <row r="453" spans="2:9">
      <c r="B453" s="2"/>
      <c r="C453" s="2"/>
      <c r="F453" s="12"/>
      <c r="G453" s="13"/>
    </row>
    <row r="454" spans="2:9">
      <c r="B454" s="2"/>
      <c r="C454" s="2"/>
      <c r="F454" s="12"/>
      <c r="G454" s="13"/>
    </row>
    <row r="455" spans="2:9">
      <c r="B455" s="2"/>
      <c r="C455" s="2"/>
      <c r="F455" s="12"/>
      <c r="G455" s="13"/>
    </row>
    <row r="456" spans="2:9">
      <c r="B456" s="2"/>
      <c r="C456" s="2"/>
      <c r="F456" s="12"/>
      <c r="G456" s="13"/>
    </row>
    <row r="457" spans="2:9">
      <c r="B457" s="2"/>
      <c r="C457" s="2"/>
      <c r="F457" s="12"/>
      <c r="G457" s="13"/>
      <c r="I457" s="47"/>
    </row>
    <row r="458" spans="2:9">
      <c r="B458" s="2"/>
      <c r="C458" s="2"/>
      <c r="F458" s="12"/>
      <c r="G458" s="13"/>
    </row>
    <row r="459" spans="2:9">
      <c r="B459" s="2"/>
      <c r="C459" s="2"/>
      <c r="F459" s="12"/>
      <c r="G459" s="13"/>
    </row>
    <row r="460" spans="2:9">
      <c r="B460" s="2"/>
      <c r="C460" s="2"/>
      <c r="F460" s="12"/>
      <c r="G460" s="13"/>
    </row>
    <row r="461" spans="2:9">
      <c r="B461" s="2"/>
      <c r="C461" s="2"/>
      <c r="F461" s="12"/>
      <c r="G461" s="13"/>
    </row>
    <row r="462" spans="2:9">
      <c r="B462" s="2"/>
      <c r="C462" s="2"/>
      <c r="F462" s="12"/>
      <c r="G462" s="13"/>
    </row>
    <row r="463" spans="2:9">
      <c r="B463" s="2"/>
      <c r="C463" s="2"/>
      <c r="F463" s="12"/>
      <c r="G463" s="13"/>
    </row>
    <row r="464" spans="2:9">
      <c r="B464" s="2"/>
      <c r="C464" s="2"/>
      <c r="F464" s="12"/>
      <c r="G464" s="13"/>
      <c r="I464" s="47"/>
    </row>
    <row r="465" spans="2:9">
      <c r="B465" s="2"/>
      <c r="C465" s="2"/>
      <c r="F465" s="12"/>
      <c r="G465" s="13"/>
    </row>
    <row r="466" spans="2:9">
      <c r="B466" s="2"/>
      <c r="C466" s="2"/>
      <c r="F466" s="12"/>
      <c r="G466" s="13"/>
    </row>
    <row r="467" spans="2:9">
      <c r="B467" s="2"/>
      <c r="C467" s="2"/>
      <c r="F467" s="12"/>
      <c r="G467" s="13"/>
    </row>
    <row r="468" spans="2:9">
      <c r="B468" s="2"/>
      <c r="C468" s="2"/>
      <c r="F468" s="12"/>
      <c r="G468" s="13"/>
    </row>
    <row r="469" spans="2:9">
      <c r="B469" s="2"/>
      <c r="C469" s="2"/>
      <c r="F469" s="12"/>
      <c r="G469" s="13"/>
    </row>
    <row r="470" spans="2:9">
      <c r="B470" s="2"/>
      <c r="C470" s="2"/>
      <c r="F470" s="12"/>
      <c r="G470" s="13"/>
    </row>
    <row r="471" spans="2:9">
      <c r="B471" s="2"/>
      <c r="C471" s="2"/>
      <c r="F471" s="12"/>
      <c r="G471" s="13"/>
      <c r="I471" s="47"/>
    </row>
    <row r="472" spans="2:9">
      <c r="B472" s="2"/>
      <c r="C472" s="2"/>
      <c r="F472" s="12"/>
      <c r="G472" s="13"/>
    </row>
    <row r="473" spans="2:9">
      <c r="B473" s="2"/>
      <c r="C473" s="2"/>
      <c r="F473" s="12"/>
      <c r="G473" s="13"/>
    </row>
    <row r="474" spans="2:9">
      <c r="B474" s="2"/>
      <c r="C474" s="2"/>
      <c r="F474" s="12"/>
      <c r="G474" s="13"/>
    </row>
    <row r="475" spans="2:9">
      <c r="B475" s="2"/>
      <c r="C475" s="2"/>
      <c r="F475" s="12"/>
      <c r="G475" s="13"/>
    </row>
    <row r="476" spans="2:9">
      <c r="B476" s="2"/>
      <c r="C476" s="2"/>
      <c r="F476" s="12"/>
      <c r="G476" s="13"/>
    </row>
    <row r="477" spans="2:9">
      <c r="B477" s="2"/>
      <c r="C477" s="2"/>
      <c r="F477" s="12"/>
      <c r="G477" s="13"/>
    </row>
    <row r="478" spans="2:9">
      <c r="B478" s="2"/>
      <c r="C478" s="2"/>
      <c r="F478" s="12"/>
      <c r="G478" s="13"/>
      <c r="I478" s="47"/>
    </row>
    <row r="479" spans="2:9">
      <c r="B479" s="2"/>
      <c r="C479" s="2"/>
      <c r="F479" s="12"/>
      <c r="G479" s="13"/>
    </row>
    <row r="480" spans="2:9">
      <c r="B480" s="2"/>
      <c r="C480" s="2"/>
      <c r="F480" s="12"/>
      <c r="G480" s="13"/>
    </row>
    <row r="481" spans="2:9">
      <c r="B481" s="2"/>
      <c r="C481" s="2"/>
      <c r="F481" s="12"/>
      <c r="G481" s="13"/>
    </row>
    <row r="482" spans="2:9">
      <c r="B482" s="2"/>
      <c r="C482" s="2"/>
      <c r="F482" s="12"/>
      <c r="G482" s="13"/>
    </row>
    <row r="483" spans="2:9">
      <c r="B483" s="2"/>
      <c r="C483" s="2"/>
      <c r="F483" s="12"/>
      <c r="G483" s="13"/>
    </row>
    <row r="484" spans="2:9">
      <c r="B484" s="2"/>
      <c r="C484" s="2"/>
      <c r="F484" s="12"/>
      <c r="G484" s="13"/>
    </row>
    <row r="485" spans="2:9">
      <c r="B485" s="2"/>
      <c r="C485" s="2"/>
      <c r="F485" s="12"/>
      <c r="G485" s="13"/>
      <c r="I485" s="47"/>
    </row>
    <row r="486" spans="2:9">
      <c r="B486" s="2"/>
      <c r="C486" s="2"/>
      <c r="F486" s="12"/>
      <c r="G486" s="13"/>
    </row>
    <row r="487" spans="2:9">
      <c r="B487" s="2"/>
      <c r="C487" s="2"/>
      <c r="F487" s="12"/>
      <c r="G487" s="13"/>
    </row>
    <row r="488" spans="2:9">
      <c r="B488" s="2"/>
      <c r="C488" s="2"/>
      <c r="F488" s="12"/>
      <c r="G488" s="13"/>
    </row>
    <row r="489" spans="2:9">
      <c r="B489" s="2"/>
      <c r="C489" s="2"/>
      <c r="F489" s="12"/>
      <c r="G489" s="13"/>
    </row>
    <row r="490" spans="2:9">
      <c r="B490" s="2"/>
      <c r="C490" s="2"/>
      <c r="F490" s="12"/>
      <c r="G490" s="13"/>
    </row>
    <row r="491" spans="2:9">
      <c r="B491" s="2"/>
      <c r="C491" s="2"/>
      <c r="F491" s="12"/>
      <c r="G491" s="13"/>
    </row>
    <row r="492" spans="2:9">
      <c r="B492" s="2"/>
      <c r="C492" s="2"/>
      <c r="F492" s="12"/>
      <c r="G492" s="13"/>
      <c r="I492" s="47"/>
    </row>
    <row r="493" spans="2:9">
      <c r="B493" s="2"/>
      <c r="C493" s="2"/>
      <c r="F493" s="12"/>
      <c r="G493" s="13"/>
    </row>
    <row r="494" spans="2:9">
      <c r="B494" s="2"/>
      <c r="C494" s="2"/>
      <c r="F494" s="12"/>
      <c r="G494" s="13"/>
    </row>
    <row r="495" spans="2:9">
      <c r="B495" s="2"/>
      <c r="C495" s="2"/>
      <c r="F495" s="12"/>
      <c r="G495" s="13"/>
    </row>
    <row r="496" spans="2:9">
      <c r="B496" s="2"/>
      <c r="C496" s="2"/>
      <c r="F496" s="12"/>
      <c r="G496" s="13"/>
    </row>
    <row r="497" spans="2:9">
      <c r="B497" s="2"/>
      <c r="C497" s="2"/>
      <c r="F497" s="12"/>
      <c r="G497" s="13"/>
    </row>
    <row r="498" spans="2:9">
      <c r="B498" s="2"/>
      <c r="C498" s="2"/>
      <c r="F498" s="12"/>
      <c r="G498" s="13"/>
    </row>
    <row r="499" spans="2:9">
      <c r="B499" s="2"/>
      <c r="C499" s="2"/>
      <c r="F499" s="12"/>
      <c r="G499" s="13"/>
      <c r="I499" s="47"/>
    </row>
    <row r="500" spans="2:9">
      <c r="B500" s="2"/>
      <c r="C500" s="2"/>
      <c r="F500" s="12"/>
      <c r="G500" s="13"/>
    </row>
    <row r="501" spans="2:9">
      <c r="B501" s="2"/>
      <c r="C501" s="2"/>
      <c r="F501" s="12"/>
      <c r="G501" s="13"/>
    </row>
    <row r="502" spans="2:9">
      <c r="B502" s="2"/>
      <c r="C502" s="2"/>
      <c r="F502" s="12"/>
      <c r="G502" s="13"/>
    </row>
    <row r="503" spans="2:9">
      <c r="B503" s="2"/>
      <c r="C503" s="2"/>
      <c r="F503" s="12"/>
      <c r="G503" s="13"/>
    </row>
    <row r="504" spans="2:9">
      <c r="B504" s="2"/>
      <c r="C504" s="2"/>
      <c r="F504" s="12"/>
      <c r="G504" s="13"/>
    </row>
    <row r="505" spans="2:9">
      <c r="B505" s="2"/>
      <c r="C505" s="2"/>
      <c r="F505" s="12"/>
      <c r="G505" s="13"/>
    </row>
    <row r="506" spans="2:9">
      <c r="B506" s="2"/>
      <c r="C506" s="2"/>
      <c r="F506" s="12"/>
      <c r="G506" s="13"/>
      <c r="I506" s="47"/>
    </row>
    <row r="507" spans="2:9">
      <c r="B507" s="2"/>
      <c r="C507" s="2"/>
      <c r="F507" s="12"/>
      <c r="G507" s="13"/>
    </row>
    <row r="508" spans="2:9">
      <c r="B508" s="2"/>
      <c r="C508" s="2"/>
      <c r="F508" s="12"/>
      <c r="G508" s="13"/>
    </row>
    <row r="509" spans="2:9">
      <c r="B509" s="2"/>
      <c r="C509" s="2"/>
      <c r="F509" s="12"/>
      <c r="G509" s="13"/>
    </row>
    <row r="510" spans="2:9">
      <c r="B510" s="2"/>
      <c r="C510" s="2"/>
      <c r="F510" s="12"/>
      <c r="G510" s="13"/>
    </row>
    <row r="511" spans="2:9">
      <c r="B511" s="2"/>
      <c r="C511" s="2"/>
      <c r="F511" s="12"/>
      <c r="G511" s="13"/>
    </row>
    <row r="512" spans="2:9">
      <c r="B512" s="2"/>
      <c r="C512" s="2"/>
      <c r="F512" s="12"/>
      <c r="G512" s="13"/>
    </row>
    <row r="513" spans="2:9">
      <c r="B513" s="2"/>
      <c r="C513" s="2"/>
      <c r="F513" s="12"/>
      <c r="G513" s="13"/>
      <c r="I513" s="47"/>
    </row>
    <row r="514" spans="2:9">
      <c r="B514" s="2"/>
      <c r="C514" s="2"/>
      <c r="F514" s="12"/>
      <c r="G514" s="13"/>
    </row>
    <row r="515" spans="2:9">
      <c r="B515" s="2"/>
      <c r="C515" s="2"/>
      <c r="F515" s="12"/>
      <c r="G515" s="13"/>
    </row>
    <row r="516" spans="2:9">
      <c r="B516" s="2"/>
      <c r="C516" s="2"/>
      <c r="F516" s="12"/>
      <c r="G516" s="13"/>
    </row>
    <row r="517" spans="2:9">
      <c r="B517" s="2"/>
      <c r="C517" s="2"/>
      <c r="F517" s="12"/>
      <c r="G517" s="13"/>
    </row>
    <row r="518" spans="2:9">
      <c r="B518" s="2"/>
      <c r="C518" s="2"/>
      <c r="F518" s="12"/>
      <c r="G518" s="13"/>
    </row>
    <row r="519" spans="2:9">
      <c r="B519" s="2"/>
      <c r="C519" s="2"/>
      <c r="F519" s="12"/>
      <c r="G519" s="13"/>
    </row>
    <row r="520" spans="2:9">
      <c r="B520" s="2"/>
      <c r="C520" s="2"/>
      <c r="F520" s="12"/>
      <c r="G520" s="13"/>
      <c r="I520" s="47"/>
    </row>
    <row r="521" spans="2:9">
      <c r="B521" s="2"/>
      <c r="C521" s="2"/>
      <c r="F521" s="12"/>
      <c r="G521" s="13"/>
    </row>
    <row r="522" spans="2:9">
      <c r="B522" s="2"/>
      <c r="C522" s="2"/>
      <c r="F522" s="12"/>
      <c r="G522" s="13"/>
    </row>
    <row r="523" spans="2:9">
      <c r="B523" s="2"/>
      <c r="C523" s="2"/>
      <c r="F523" s="12"/>
      <c r="G523" s="13"/>
    </row>
    <row r="524" spans="2:9">
      <c r="B524" s="2"/>
      <c r="C524" s="2"/>
      <c r="F524" s="12"/>
      <c r="G524" s="13"/>
    </row>
    <row r="525" spans="2:9">
      <c r="B525" s="2"/>
      <c r="C525" s="2"/>
      <c r="F525" s="12"/>
      <c r="G525" s="13"/>
    </row>
    <row r="526" spans="2:9">
      <c r="B526" s="2"/>
      <c r="C526" s="2"/>
      <c r="F526" s="12"/>
      <c r="G526" s="13"/>
    </row>
    <row r="527" spans="2:9">
      <c r="B527" s="2"/>
      <c r="C527" s="2"/>
      <c r="F527" s="12"/>
      <c r="G527" s="13"/>
      <c r="I527" s="47"/>
    </row>
    <row r="528" spans="2:9">
      <c r="B528" s="2"/>
      <c r="C528" s="2"/>
      <c r="F528" s="12"/>
      <c r="G528" s="13"/>
    </row>
    <row r="529" spans="2:9">
      <c r="B529" s="2"/>
      <c r="C529" s="2"/>
      <c r="F529" s="12"/>
      <c r="G529" s="13"/>
    </row>
    <row r="530" spans="2:9">
      <c r="B530" s="2"/>
      <c r="C530" s="2"/>
      <c r="F530" s="12"/>
      <c r="G530" s="13"/>
    </row>
    <row r="531" spans="2:9">
      <c r="B531" s="2"/>
      <c r="C531" s="2"/>
      <c r="F531" s="12"/>
      <c r="G531" s="13"/>
    </row>
    <row r="532" spans="2:9">
      <c r="B532" s="2"/>
      <c r="C532" s="2"/>
      <c r="F532" s="12"/>
      <c r="G532" s="13"/>
    </row>
    <row r="533" spans="2:9">
      <c r="B533" s="2"/>
      <c r="C533" s="2"/>
      <c r="F533" s="12"/>
      <c r="G533" s="13"/>
    </row>
    <row r="534" spans="2:9">
      <c r="B534" s="2"/>
      <c r="C534" s="2"/>
      <c r="F534" s="12"/>
      <c r="G534" s="13"/>
      <c r="I534" s="47"/>
    </row>
    <row r="535" spans="2:9">
      <c r="B535" s="2"/>
      <c r="C535" s="2"/>
      <c r="F535" s="12"/>
      <c r="G535" s="13"/>
    </row>
    <row r="536" spans="2:9">
      <c r="B536" s="2"/>
      <c r="C536" s="2"/>
      <c r="F536" s="12"/>
      <c r="G536" s="13"/>
    </row>
    <row r="537" spans="2:9">
      <c r="B537" s="2"/>
      <c r="C537" s="2"/>
      <c r="F537" s="12"/>
      <c r="G537" s="13"/>
    </row>
    <row r="538" spans="2:9">
      <c r="B538" s="2"/>
      <c r="C538" s="2"/>
      <c r="F538" s="12"/>
      <c r="G538" s="13"/>
    </row>
    <row r="539" spans="2:9">
      <c r="B539" s="2"/>
      <c r="C539" s="2"/>
      <c r="F539" s="12"/>
      <c r="G539" s="13"/>
    </row>
    <row r="540" spans="2:9">
      <c r="B540" s="2"/>
      <c r="C540" s="2"/>
      <c r="F540" s="12"/>
      <c r="G540" s="13"/>
    </row>
    <row r="541" spans="2:9">
      <c r="B541" s="2"/>
      <c r="C541" s="2"/>
      <c r="F541" s="12"/>
      <c r="G541" s="13"/>
      <c r="I541" s="47"/>
    </row>
    <row r="542" spans="2:9">
      <c r="B542" s="2"/>
      <c r="C542" s="2"/>
      <c r="F542" s="12"/>
      <c r="G542" s="13"/>
    </row>
    <row r="543" spans="2:9">
      <c r="B543" s="2"/>
      <c r="C543" s="2"/>
      <c r="F543" s="12"/>
      <c r="G543" s="13"/>
    </row>
    <row r="544" spans="2:9">
      <c r="B544" s="2"/>
      <c r="C544" s="2"/>
      <c r="F544" s="12"/>
      <c r="G544" s="13"/>
    </row>
    <row r="545" spans="2:9">
      <c r="B545" s="2"/>
      <c r="C545" s="2"/>
      <c r="F545" s="12"/>
      <c r="G545" s="13"/>
    </row>
    <row r="546" spans="2:9">
      <c r="B546" s="2"/>
      <c r="C546" s="2"/>
      <c r="F546" s="12"/>
      <c r="G546" s="13"/>
    </row>
    <row r="547" spans="2:9">
      <c r="B547" s="2"/>
      <c r="C547" s="2"/>
      <c r="F547" s="12"/>
      <c r="G547" s="13"/>
    </row>
    <row r="548" spans="2:9">
      <c r="B548" s="2"/>
      <c r="C548" s="2"/>
      <c r="F548" s="12"/>
      <c r="G548" s="13"/>
      <c r="I548" s="47"/>
    </row>
    <row r="549" spans="2:9">
      <c r="B549" s="2"/>
      <c r="C549" s="2"/>
      <c r="F549" s="12"/>
      <c r="G549" s="13"/>
    </row>
    <row r="550" spans="2:9">
      <c r="B550" s="2"/>
      <c r="C550" s="2"/>
      <c r="F550" s="12"/>
      <c r="G550" s="13"/>
    </row>
    <row r="551" spans="2:9">
      <c r="B551" s="2"/>
      <c r="C551" s="2"/>
      <c r="F551" s="12"/>
      <c r="G551" s="13"/>
    </row>
    <row r="552" spans="2:9">
      <c r="B552" s="2"/>
      <c r="C552" s="2"/>
      <c r="F552" s="12"/>
      <c r="G552" s="13"/>
    </row>
    <row r="553" spans="2:9">
      <c r="B553" s="2"/>
      <c r="C553" s="2"/>
      <c r="F553" s="12"/>
      <c r="G553" s="13"/>
    </row>
    <row r="554" spans="2:9">
      <c r="B554" s="2"/>
      <c r="C554" s="2"/>
      <c r="F554" s="12"/>
      <c r="G554" s="13"/>
    </row>
    <row r="555" spans="2:9">
      <c r="B555" s="2"/>
      <c r="C555" s="2"/>
      <c r="F555" s="12"/>
      <c r="G555" s="13"/>
      <c r="I555" s="47"/>
    </row>
    <row r="556" spans="2:9">
      <c r="B556" s="2"/>
      <c r="C556" s="2"/>
      <c r="F556" s="12"/>
      <c r="G556" s="13"/>
    </row>
    <row r="557" spans="2:9">
      <c r="B557" s="2"/>
      <c r="C557" s="2"/>
      <c r="F557" s="12"/>
      <c r="G557" s="13"/>
    </row>
    <row r="558" spans="2:9">
      <c r="B558" s="2"/>
      <c r="C558" s="2"/>
      <c r="F558" s="12"/>
      <c r="G558" s="13"/>
    </row>
    <row r="559" spans="2:9">
      <c r="B559" s="2"/>
      <c r="C559" s="2"/>
      <c r="F559" s="12"/>
      <c r="G559" s="13"/>
    </row>
    <row r="560" spans="2:9">
      <c r="B560" s="2"/>
      <c r="C560" s="2"/>
      <c r="F560" s="12"/>
      <c r="G560" s="13"/>
    </row>
    <row r="561" spans="2:9">
      <c r="B561" s="2"/>
      <c r="C561" s="2"/>
      <c r="F561" s="12"/>
      <c r="G561" s="13"/>
    </row>
    <row r="562" spans="2:9">
      <c r="B562" s="2"/>
      <c r="C562" s="2"/>
      <c r="F562" s="12"/>
      <c r="G562" s="13"/>
      <c r="I562" s="47"/>
    </row>
    <row r="563" spans="2:9">
      <c r="B563" s="2"/>
      <c r="C563" s="2"/>
      <c r="F563" s="12"/>
      <c r="G563" s="13"/>
    </row>
    <row r="564" spans="2:9">
      <c r="B564" s="2"/>
      <c r="C564" s="2"/>
      <c r="F564" s="12"/>
      <c r="G564" s="13"/>
    </row>
    <row r="565" spans="2:9">
      <c r="B565" s="2"/>
      <c r="C565" s="2"/>
      <c r="F565" s="12"/>
      <c r="G565" s="13"/>
    </row>
    <row r="566" spans="2:9">
      <c r="B566" s="2"/>
      <c r="C566" s="2"/>
      <c r="F566" s="12"/>
      <c r="G566" s="13"/>
    </row>
    <row r="567" spans="2:9">
      <c r="B567" s="2"/>
      <c r="C567" s="2"/>
      <c r="F567" s="12"/>
      <c r="G567" s="13"/>
    </row>
    <row r="568" spans="2:9">
      <c r="B568" s="2"/>
      <c r="C568" s="2"/>
      <c r="F568" s="12"/>
      <c r="G568" s="13"/>
    </row>
    <row r="569" spans="2:9">
      <c r="B569" s="2"/>
      <c r="C569" s="2"/>
      <c r="F569" s="12"/>
      <c r="G569" s="13"/>
      <c r="I569" s="47"/>
    </row>
    <row r="570" spans="2:9">
      <c r="B570" s="2"/>
      <c r="C570" s="2"/>
      <c r="F570" s="12"/>
      <c r="G570" s="13"/>
    </row>
    <row r="571" spans="2:9">
      <c r="B571" s="2"/>
      <c r="C571" s="2"/>
      <c r="F571" s="12"/>
      <c r="G571" s="13"/>
    </row>
    <row r="572" spans="2:9">
      <c r="B572" s="2"/>
      <c r="C572" s="2"/>
      <c r="F572" s="12"/>
      <c r="G572" s="13"/>
    </row>
    <row r="573" spans="2:9">
      <c r="B573" s="2"/>
      <c r="C573" s="2"/>
      <c r="F573" s="12"/>
      <c r="G573" s="13"/>
    </row>
    <row r="574" spans="2:9">
      <c r="B574" s="2"/>
      <c r="C574" s="2"/>
      <c r="F574" s="12"/>
      <c r="G574" s="13"/>
    </row>
    <row r="575" spans="2:9">
      <c r="B575" s="2"/>
      <c r="C575" s="2"/>
      <c r="F575" s="12"/>
      <c r="G575" s="13"/>
    </row>
    <row r="576" spans="2:9">
      <c r="B576" s="2"/>
      <c r="C576" s="2"/>
      <c r="F576" s="12"/>
      <c r="G576" s="13"/>
      <c r="I576" s="47"/>
    </row>
    <row r="577" spans="2:9">
      <c r="B577" s="2"/>
      <c r="C577" s="2"/>
      <c r="F577" s="12"/>
    </row>
    <row r="578" spans="2:9">
      <c r="B578" s="2"/>
      <c r="C578" s="2"/>
      <c r="F578" s="12"/>
    </row>
    <row r="579" spans="2:9">
      <c r="B579" s="2"/>
      <c r="C579" s="2"/>
      <c r="F579" s="12"/>
    </row>
    <row r="580" spans="2:9">
      <c r="B580" s="2"/>
      <c r="C580" s="2"/>
      <c r="F580" s="12"/>
    </row>
    <row r="581" spans="2:9">
      <c r="B581" s="2"/>
      <c r="C581" s="2"/>
      <c r="F581" s="12"/>
    </row>
    <row r="582" spans="2:9">
      <c r="B582" s="2"/>
      <c r="C582" s="2"/>
      <c r="F582" s="12"/>
    </row>
    <row r="583" spans="2:9">
      <c r="B583" s="2"/>
      <c r="C583" s="2"/>
      <c r="F583" s="12"/>
      <c r="I583" s="47"/>
    </row>
    <row r="584" spans="2:9">
      <c r="B584" s="2"/>
      <c r="C584" s="2"/>
    </row>
    <row r="585" spans="2:9">
      <c r="B585" s="2"/>
      <c r="C585" s="2"/>
    </row>
    <row r="586" spans="2:9">
      <c r="B586" s="2"/>
      <c r="C586" s="2"/>
    </row>
    <row r="587" spans="2:9">
      <c r="B587" s="2"/>
      <c r="C587" s="2"/>
    </row>
    <row r="588" spans="2:9">
      <c r="B588" s="2"/>
      <c r="C588" s="2"/>
    </row>
    <row r="589" spans="2:9">
      <c r="B589" s="2"/>
      <c r="C589" s="2"/>
    </row>
    <row r="590" spans="2:9">
      <c r="B590" s="2"/>
      <c r="C590" s="2"/>
    </row>
    <row r="591" spans="2:9">
      <c r="B591" s="2"/>
      <c r="C591" s="2"/>
    </row>
    <row r="592" spans="2:9">
      <c r="B592" s="2"/>
      <c r="C592" s="2"/>
    </row>
    <row r="593" spans="2:3">
      <c r="B593" s="2"/>
      <c r="C593" s="2"/>
    </row>
    <row r="594" spans="2:3">
      <c r="B594" s="2"/>
      <c r="C594" s="2"/>
    </row>
    <row r="595" spans="2:3">
      <c r="B595" s="2"/>
      <c r="C595" s="2"/>
    </row>
    <row r="596" spans="2:3">
      <c r="B596" s="2"/>
      <c r="C596" s="2"/>
    </row>
    <row r="597" spans="2:3">
      <c r="B597" s="2"/>
      <c r="C597" s="2"/>
    </row>
    <row r="598" spans="2:3">
      <c r="B598" s="2"/>
      <c r="C598" s="2"/>
    </row>
    <row r="599" spans="2:3">
      <c r="B599" s="2"/>
      <c r="C599" s="2"/>
    </row>
    <row r="600" spans="2:3">
      <c r="B600" s="2"/>
      <c r="C600" s="2"/>
    </row>
    <row r="601" spans="2:3">
      <c r="B601" s="2"/>
      <c r="C601" s="2"/>
    </row>
    <row r="602" spans="2:3">
      <c r="B602" s="2"/>
      <c r="C602" s="2"/>
    </row>
    <row r="603" spans="2:3">
      <c r="B603" s="2"/>
      <c r="C603" s="2"/>
    </row>
    <row r="604" spans="2:3">
      <c r="B604" s="2"/>
      <c r="C604" s="2"/>
    </row>
    <row r="605" spans="2:3">
      <c r="B605" s="2"/>
      <c r="C605" s="2"/>
    </row>
    <row r="606" spans="2:3">
      <c r="B606" s="2"/>
      <c r="C606" s="2"/>
    </row>
    <row r="607" spans="2:3">
      <c r="B607" s="2"/>
      <c r="C607" s="2"/>
    </row>
    <row r="608" spans="2:3">
      <c r="B608" s="2"/>
      <c r="C608" s="2"/>
    </row>
    <row r="609" spans="2:3">
      <c r="B609" s="2"/>
      <c r="C609" s="2"/>
    </row>
    <row r="610" spans="2:3">
      <c r="B610" s="2"/>
      <c r="C610" s="2"/>
    </row>
    <row r="611" spans="2:3">
      <c r="B611" s="2"/>
      <c r="C611" s="2"/>
    </row>
    <row r="612" spans="2:3">
      <c r="B612" s="2"/>
      <c r="C612" s="2"/>
    </row>
    <row r="613" spans="2:3">
      <c r="B613" s="2"/>
      <c r="C613" s="2"/>
    </row>
    <row r="614" spans="2:3">
      <c r="B614" s="2"/>
      <c r="C614" s="2"/>
    </row>
    <row r="615" spans="2:3">
      <c r="B615" s="2"/>
      <c r="C615" s="2"/>
    </row>
    <row r="616" spans="2:3">
      <c r="B616" s="2"/>
      <c r="C616" s="2"/>
    </row>
    <row r="617" spans="2:3">
      <c r="B617" s="2"/>
      <c r="C617" s="2"/>
    </row>
    <row r="618" spans="2:3">
      <c r="B618" s="2"/>
      <c r="C618" s="2"/>
    </row>
    <row r="619" spans="2:3">
      <c r="B619" s="2"/>
      <c r="C619" s="2"/>
    </row>
    <row r="620" spans="2:3">
      <c r="B620" s="2"/>
      <c r="C620" s="2"/>
    </row>
    <row r="621" spans="2:3">
      <c r="B621" s="2"/>
      <c r="C621" s="2"/>
    </row>
    <row r="622" spans="2:3">
      <c r="B622" s="2"/>
      <c r="C622" s="2"/>
    </row>
    <row r="623" spans="2:3">
      <c r="B623" s="2"/>
      <c r="C623" s="2"/>
    </row>
    <row r="624" spans="2:3">
      <c r="B624" s="2"/>
      <c r="C624" s="2"/>
    </row>
    <row r="625" spans="2:3">
      <c r="B625" s="2"/>
      <c r="C625" s="2"/>
    </row>
    <row r="626" spans="2:3">
      <c r="B626" s="2"/>
      <c r="C626" s="2"/>
    </row>
    <row r="627" spans="2:3">
      <c r="B627" s="2"/>
      <c r="C627" s="2"/>
    </row>
    <row r="628" spans="2:3">
      <c r="B628" s="2"/>
      <c r="C628" s="2"/>
    </row>
    <row r="629" spans="2:3">
      <c r="B629" s="2"/>
      <c r="C629" s="2"/>
    </row>
    <row r="630" spans="2:3">
      <c r="B630" s="2"/>
      <c r="C630" s="2"/>
    </row>
    <row r="631" spans="2:3">
      <c r="B631" s="2"/>
      <c r="C631" s="2"/>
    </row>
    <row r="632" spans="2:3">
      <c r="B632" s="2"/>
      <c r="C632" s="2"/>
    </row>
    <row r="633" spans="2:3">
      <c r="B633" s="2"/>
      <c r="C633" s="2"/>
    </row>
    <row r="634" spans="2:3">
      <c r="B634" s="2"/>
      <c r="C634" s="2"/>
    </row>
    <row r="635" spans="2:3">
      <c r="B635" s="2"/>
      <c r="C635" s="2"/>
    </row>
    <row r="636" spans="2:3">
      <c r="B636" s="2"/>
      <c r="C636" s="2"/>
    </row>
    <row r="637" spans="2:3">
      <c r="B637" s="2"/>
      <c r="C637" s="2"/>
    </row>
    <row r="638" spans="2:3">
      <c r="B638" s="2"/>
      <c r="C638" s="2"/>
    </row>
    <row r="639" spans="2:3">
      <c r="B639" s="2"/>
      <c r="C639" s="2"/>
    </row>
    <row r="640" spans="2:3">
      <c r="B640" s="2"/>
      <c r="C640" s="2"/>
    </row>
    <row r="641" spans="2:3">
      <c r="B641" s="2"/>
      <c r="C641" s="2"/>
    </row>
    <row r="642" spans="2:3">
      <c r="B642" s="2"/>
      <c r="C642" s="2"/>
    </row>
    <row r="643" spans="2:3">
      <c r="B643" s="2"/>
      <c r="C643" s="2"/>
    </row>
    <row r="644" spans="2:3">
      <c r="B644" s="2"/>
      <c r="C644" s="2"/>
    </row>
    <row r="645" spans="2:3">
      <c r="B645" s="2"/>
      <c r="C645" s="2"/>
    </row>
    <row r="646" spans="2:3">
      <c r="B646" s="2"/>
      <c r="C646" s="2"/>
    </row>
    <row r="647" spans="2:3">
      <c r="B647" s="2"/>
      <c r="C647" s="2"/>
    </row>
    <row r="648" spans="2:3">
      <c r="B648" s="2"/>
      <c r="C648" s="2"/>
    </row>
    <row r="649" spans="2:3">
      <c r="B649" s="2"/>
      <c r="C649" s="2"/>
    </row>
    <row r="650" spans="2:3">
      <c r="B650" s="2"/>
      <c r="C650" s="2"/>
    </row>
    <row r="651" spans="2:3">
      <c r="B651" s="2"/>
    </row>
    <row r="652" spans="2:3">
      <c r="B652" s="2"/>
    </row>
    <row r="653" spans="2:3">
      <c r="B653" s="2"/>
    </row>
    <row r="654" spans="2:3">
      <c r="B654" s="2"/>
    </row>
    <row r="655" spans="2:3">
      <c r="B655" s="2"/>
    </row>
  </sheetData>
  <mergeCells count="1">
    <mergeCell ref="D1:E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8ccdd79-b790-40fe-8cde-4bf6ce2eec57}" enabled="1" method="Standard" siteId="{74b72ba8-5684-402c-98da-e38799398d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 Torres</dc:creator>
  <cp:keywords/>
  <dc:description/>
  <cp:lastModifiedBy/>
  <cp:revision/>
  <dcterms:created xsi:type="dcterms:W3CDTF">2026-09-24T12:41:24Z</dcterms:created>
  <dcterms:modified xsi:type="dcterms:W3CDTF">2026-09-30T13:58:42Z</dcterms:modified>
  <cp:category/>
  <cp:contentStatus/>
</cp:coreProperties>
</file>